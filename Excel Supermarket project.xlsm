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had Engineering\Desktop\Data\Project\Excel\"/>
    </mc:Choice>
  </mc:AlternateContent>
  <bookViews>
    <workbookView xWindow="0" yWindow="0" windowWidth="23040" windowHeight="9264"/>
  </bookViews>
  <sheets>
    <sheet name="Billing" sheetId="2" r:id="rId1"/>
    <sheet name="Stock" sheetId="1" r:id="rId2"/>
    <sheet name="Sales report" sheetId="3" r:id="rId3"/>
    <sheet name="Customer database" sheetId="4" r:id="rId4"/>
  </sheets>
  <definedNames>
    <definedName name="_xlnm._FilterDatabase" localSheetId="2" hidden="1">'Sales report'!$A$3:$I$20</definedName>
    <definedName name="_xlnm.Print_Area" localSheetId="0">Billing!$C$2:$J$33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3" l="1"/>
  <c r="E2" i="3"/>
  <c r="I30" i="2"/>
  <c r="I29" i="2"/>
  <c r="I28" i="2"/>
  <c r="G14" i="2"/>
  <c r="I14" i="2" s="1"/>
  <c r="G15" i="2"/>
  <c r="I15" i="2" s="1"/>
  <c r="G16" i="2"/>
  <c r="I16" i="2" s="1"/>
  <c r="G17" i="2"/>
  <c r="I17" i="2" s="1"/>
  <c r="G18" i="2"/>
  <c r="I18" i="2" s="1"/>
  <c r="G19" i="2"/>
  <c r="I19" i="2" s="1"/>
  <c r="G20" i="2"/>
  <c r="I20" i="2" s="1"/>
  <c r="G21" i="2"/>
  <c r="I21" i="2" s="1"/>
  <c r="G22" i="2"/>
  <c r="I22" i="2" s="1"/>
  <c r="G23" i="2"/>
  <c r="I23" i="2" s="1"/>
  <c r="G24" i="2"/>
  <c r="I24" i="2" s="1"/>
  <c r="F14" i="2"/>
  <c r="F15" i="2"/>
  <c r="F16" i="2"/>
  <c r="F17" i="2"/>
  <c r="F18" i="2"/>
  <c r="F19" i="2"/>
  <c r="F20" i="2"/>
  <c r="F21" i="2"/>
  <c r="F22" i="2"/>
  <c r="F23" i="2"/>
  <c r="F24" i="2"/>
  <c r="E14" i="2"/>
  <c r="E15" i="2"/>
  <c r="E16" i="2"/>
  <c r="E17" i="2"/>
  <c r="E18" i="2"/>
  <c r="E19" i="2"/>
  <c r="E20" i="2"/>
  <c r="E21" i="2"/>
  <c r="E22" i="2"/>
  <c r="E23" i="2"/>
  <c r="E24" i="2"/>
  <c r="G13" i="2"/>
  <c r="I13" i="2" s="1"/>
  <c r="F13" i="2"/>
  <c r="E13" i="2"/>
  <c r="D14" i="2"/>
  <c r="D15" i="2"/>
  <c r="D16" i="2"/>
  <c r="D17" i="2"/>
  <c r="D18" i="2"/>
  <c r="D19" i="2"/>
  <c r="D20" i="2"/>
  <c r="D21" i="2"/>
  <c r="D22" i="2"/>
  <c r="D23" i="2"/>
  <c r="D24" i="2"/>
  <c r="D13" i="2"/>
  <c r="J24" i="2" l="1"/>
  <c r="J16" i="2"/>
  <c r="J22" i="2"/>
  <c r="J14" i="2"/>
  <c r="J20" i="2"/>
  <c r="J25" i="2"/>
  <c r="J27" i="2" s="1"/>
  <c r="J21" i="2"/>
  <c r="J18" i="2"/>
  <c r="J13" i="2"/>
  <c r="J23" i="2"/>
  <c r="J15" i="2"/>
  <c r="J17" i="2"/>
  <c r="J19" i="2"/>
  <c r="H9" i="2"/>
  <c r="K9" i="1"/>
  <c r="O9" i="1" s="1"/>
  <c r="K7" i="1"/>
  <c r="L7" i="1" s="1"/>
  <c r="K4" i="1"/>
  <c r="L4" i="1" s="1"/>
  <c r="K6" i="1"/>
  <c r="L6" i="1" s="1"/>
  <c r="K5" i="1"/>
  <c r="O5" i="1" s="1"/>
  <c r="K8" i="1"/>
  <c r="O8" i="1" s="1"/>
  <c r="K10" i="1"/>
  <c r="O10" i="1" s="1"/>
  <c r="K11" i="1"/>
  <c r="O11" i="1" s="1"/>
  <c r="K12" i="1"/>
  <c r="L12" i="1" s="1"/>
  <c r="K13" i="1"/>
  <c r="O13" i="1" s="1"/>
  <c r="J28" i="2" l="1"/>
  <c r="J30" i="2"/>
  <c r="J29" i="2"/>
  <c r="L11" i="1"/>
  <c r="L10" i="1"/>
  <c r="O12" i="1"/>
  <c r="L8" i="1"/>
  <c r="L5" i="1"/>
  <c r="O7" i="1"/>
  <c r="L13" i="1"/>
  <c r="O6" i="1"/>
  <c r="O4" i="1"/>
  <c r="L9" i="1"/>
  <c r="J32" i="2" l="1"/>
</calcChain>
</file>

<file path=xl/sharedStrings.xml><?xml version="1.0" encoding="utf-8"?>
<sst xmlns="http://schemas.openxmlformats.org/spreadsheetml/2006/main" count="193" uniqueCount="147">
  <si>
    <t>Date</t>
  </si>
  <si>
    <t>Item Code</t>
  </si>
  <si>
    <t>Product Name</t>
  </si>
  <si>
    <t>HSN\SAC</t>
  </si>
  <si>
    <t>GST Rate</t>
  </si>
  <si>
    <t>Unit price</t>
  </si>
  <si>
    <t>QTY</t>
  </si>
  <si>
    <t>Initial Stock Report</t>
  </si>
  <si>
    <t>Status</t>
  </si>
  <si>
    <t>Current Inventory Report</t>
  </si>
  <si>
    <t>Re-Order point</t>
  </si>
  <si>
    <t>Place Order</t>
  </si>
  <si>
    <t>Stock Alert</t>
  </si>
  <si>
    <t>OP5676</t>
  </si>
  <si>
    <t>OP5678</t>
  </si>
  <si>
    <t>OP5681</t>
  </si>
  <si>
    <t>OP6521</t>
  </si>
  <si>
    <t>OP6596</t>
  </si>
  <si>
    <t>OP1256</t>
  </si>
  <si>
    <t>OP3245</t>
  </si>
  <si>
    <t>OP6534</t>
  </si>
  <si>
    <t>OP9545</t>
  </si>
  <si>
    <t>OP9292</t>
  </si>
  <si>
    <t>Payar</t>
  </si>
  <si>
    <t>Rice</t>
  </si>
  <si>
    <t>Kadala Black</t>
  </si>
  <si>
    <t>Kadala white</t>
  </si>
  <si>
    <t>Sugar</t>
  </si>
  <si>
    <t>Tea</t>
  </si>
  <si>
    <t>Coffee</t>
  </si>
  <si>
    <t>Milk</t>
  </si>
  <si>
    <t>Chocolate</t>
  </si>
  <si>
    <t>Ice cream</t>
  </si>
  <si>
    <t>ITEM CODE</t>
  </si>
  <si>
    <t>PRODUCT NAME</t>
  </si>
  <si>
    <t>HSN/SAC</t>
  </si>
  <si>
    <t>TAX RATE</t>
  </si>
  <si>
    <t>UNIT PRICE</t>
  </si>
  <si>
    <t>GROSS AMOUNT</t>
  </si>
  <si>
    <t>NET AMT</t>
  </si>
  <si>
    <t>State</t>
  </si>
  <si>
    <t>IGST</t>
  </si>
  <si>
    <t>CGST</t>
  </si>
  <si>
    <t>SGST</t>
  </si>
  <si>
    <t>Name</t>
  </si>
  <si>
    <t>Address</t>
  </si>
  <si>
    <t>PinCode</t>
  </si>
  <si>
    <t>Contact No</t>
  </si>
  <si>
    <t>GSTIN</t>
  </si>
  <si>
    <t>TAX INVOICE</t>
  </si>
  <si>
    <t>Mynapallil, Pandalam</t>
  </si>
  <si>
    <t>Pathanamthitta, Kerala 691521</t>
  </si>
  <si>
    <t>CUSTOMER INFORMATION</t>
  </si>
  <si>
    <t xml:space="preserve">Name: </t>
  </si>
  <si>
    <t xml:space="preserve">State: </t>
  </si>
  <si>
    <t xml:space="preserve">Phone: </t>
  </si>
  <si>
    <t xml:space="preserve">Invoice No: </t>
  </si>
  <si>
    <t xml:space="preserve">Date: </t>
  </si>
  <si>
    <t xml:space="preserve">GSTIN: </t>
  </si>
  <si>
    <t xml:space="preserve">Sales Type: </t>
  </si>
  <si>
    <t>GSTIN : 32ABCDEFGH2Z5</t>
  </si>
  <si>
    <t>Discount</t>
  </si>
  <si>
    <t>Gross Amount</t>
  </si>
  <si>
    <t>After Discount</t>
  </si>
  <si>
    <t>Authorized Signatory</t>
  </si>
  <si>
    <t>…………………………………………………………………..</t>
  </si>
  <si>
    <t>Delivery Charges</t>
  </si>
  <si>
    <t>Grand Total</t>
  </si>
  <si>
    <t>Pin:</t>
  </si>
  <si>
    <t>Sanub</t>
  </si>
  <si>
    <t>Enathu</t>
  </si>
  <si>
    <t>Kerala</t>
  </si>
  <si>
    <t>32ABCDEFG5F4</t>
  </si>
  <si>
    <t>Leo</t>
  </si>
  <si>
    <t>Kadampanadu</t>
  </si>
  <si>
    <t>Karnataka</t>
  </si>
  <si>
    <t>32ABCDEFG5F5</t>
  </si>
  <si>
    <t>32ABCDEFG5F6</t>
  </si>
  <si>
    <t>32ABCDEFG5F7</t>
  </si>
  <si>
    <t>32ABCDEFG5F8</t>
  </si>
  <si>
    <t>32ABCDEFG5F9</t>
  </si>
  <si>
    <t>32ABCDEFG5F10</t>
  </si>
  <si>
    <t>32ABCDEFG5F11</t>
  </si>
  <si>
    <t>32ABCDEFG5F12</t>
  </si>
  <si>
    <t>32ABCDEFG5F13</t>
  </si>
  <si>
    <t>32ABCDEFG5F14</t>
  </si>
  <si>
    <t>32ABCDEFG5F15</t>
  </si>
  <si>
    <t>32ABCDEFG5F16</t>
  </si>
  <si>
    <t>32ABCDEFG5F17</t>
  </si>
  <si>
    <t>Shijith</t>
  </si>
  <si>
    <t>Binu</t>
  </si>
  <si>
    <t>John</t>
  </si>
  <si>
    <t>Abhilash</t>
  </si>
  <si>
    <t>Vijayakumaran</t>
  </si>
  <si>
    <t>Sooraj</t>
  </si>
  <si>
    <t>Winson</t>
  </si>
  <si>
    <t>Robin</t>
  </si>
  <si>
    <t>Mohanan</t>
  </si>
  <si>
    <t>Thasni</t>
  </si>
  <si>
    <t>Rahul</t>
  </si>
  <si>
    <t>Sasi</t>
  </si>
  <si>
    <t>Adoor</t>
  </si>
  <si>
    <t>Kollam</t>
  </si>
  <si>
    <t>Dufai</t>
  </si>
  <si>
    <t>Oman</t>
  </si>
  <si>
    <t>Ireland</t>
  </si>
  <si>
    <t>Nagaland</t>
  </si>
  <si>
    <t>Nepal</t>
  </si>
  <si>
    <t>Mangolia</t>
  </si>
  <si>
    <t>Brunei</t>
  </si>
  <si>
    <t>Australia</t>
  </si>
  <si>
    <t>Kashmir</t>
  </si>
  <si>
    <t>Andhra</t>
  </si>
  <si>
    <t>Tamil Nadu</t>
  </si>
  <si>
    <t>Gujarat</t>
  </si>
  <si>
    <t>Assam</t>
  </si>
  <si>
    <t>Bengal</t>
  </si>
  <si>
    <t>Telgana</t>
  </si>
  <si>
    <t>Tripura</t>
  </si>
  <si>
    <t>Sikkim</t>
  </si>
  <si>
    <t>UP</t>
  </si>
  <si>
    <t>Same State</t>
  </si>
  <si>
    <t>Invoice #</t>
  </si>
  <si>
    <t>Sale type</t>
  </si>
  <si>
    <t>Total Amount</t>
  </si>
  <si>
    <t>Nithin</t>
  </si>
  <si>
    <t>Boves</t>
  </si>
  <si>
    <t>Alavudeen</t>
  </si>
  <si>
    <t>Surjith</t>
  </si>
  <si>
    <t>Pathanamthitta</t>
  </si>
  <si>
    <t>Naseer</t>
  </si>
  <si>
    <t>KSA</t>
  </si>
  <si>
    <t>Bangalore</t>
  </si>
  <si>
    <t>78ABCDEFG2123</t>
  </si>
  <si>
    <t>Total Sale</t>
  </si>
  <si>
    <t>Filter Criteria</t>
  </si>
  <si>
    <t xml:space="preserve">Count : </t>
  </si>
  <si>
    <t>Sugunan</t>
  </si>
  <si>
    <t>32ASDFGHJ4523</t>
  </si>
  <si>
    <t>OPPAM SUPERMART</t>
  </si>
  <si>
    <t>A PPK Group Concern</t>
  </si>
  <si>
    <t>`</t>
  </si>
  <si>
    <t>Britain</t>
  </si>
  <si>
    <t>USA</t>
  </si>
  <si>
    <t>Thank you &amp; Visit again</t>
  </si>
  <si>
    <t>Meher Jaziyah</t>
  </si>
  <si>
    <t>Ice Cream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</si>
</sst>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₹-457]\ 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rgb="FF7030A0"/>
      <name val="Calibri"/>
      <family val="2"/>
      <scheme val="minor"/>
    </font>
    <font>
      <b/>
      <sz val="24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4" tint="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theme="4" tint="0.499984740745262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1" xfId="2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3" borderId="0" xfId="3" applyAlignment="1">
      <alignment horizontal="center" vertical="center"/>
    </xf>
    <xf numFmtId="0" fontId="1" fillId="3" borderId="1" xfId="3" applyBorder="1" applyAlignment="1">
      <alignment horizontal="center" vertical="center"/>
    </xf>
    <xf numFmtId="9" fontId="1" fillId="3" borderId="1" xfId="3" applyNumberFormat="1" applyBorder="1" applyAlignment="1">
      <alignment horizontal="center" vertical="center"/>
    </xf>
    <xf numFmtId="164" fontId="1" fillId="3" borderId="1" xfId="3" applyNumberFormat="1" applyBorder="1" applyAlignment="1">
      <alignment horizontal="center" vertical="center"/>
    </xf>
    <xf numFmtId="0" fontId="1" fillId="3" borderId="6" xfId="3" applyBorder="1" applyAlignment="1">
      <alignment vertical="center"/>
    </xf>
    <xf numFmtId="0" fontId="1" fillId="3" borderId="0" xfId="3" applyBorder="1" applyAlignment="1">
      <alignment horizontal="center" vertical="center"/>
    </xf>
    <xf numFmtId="0" fontId="1" fillId="3" borderId="10" xfId="3" applyBorder="1" applyAlignment="1">
      <alignment horizontal="center" vertical="center"/>
    </xf>
    <xf numFmtId="0" fontId="1" fillId="3" borderId="14" xfId="3" applyBorder="1" applyAlignment="1">
      <alignment horizontal="center" vertical="center"/>
    </xf>
    <xf numFmtId="0" fontId="1" fillId="3" borderId="1" xfId="3" applyBorder="1" applyAlignment="1">
      <alignment horizontal="left" vertical="center"/>
    </xf>
    <xf numFmtId="164" fontId="1" fillId="3" borderId="15" xfId="3" applyNumberFormat="1" applyBorder="1" applyAlignment="1">
      <alignment horizontal="center" vertical="center"/>
    </xf>
    <xf numFmtId="0" fontId="1" fillId="3" borderId="11" xfId="3" applyBorder="1" applyAlignment="1">
      <alignment horizontal="center" vertical="center"/>
    </xf>
    <xf numFmtId="0" fontId="1" fillId="3" borderId="17" xfId="3" applyBorder="1" applyAlignment="1">
      <alignment horizontal="center" vertical="center"/>
    </xf>
    <xf numFmtId="0" fontId="1" fillId="3" borderId="17" xfId="3" applyBorder="1" applyAlignment="1">
      <alignment horizontal="right" vertical="center"/>
    </xf>
    <xf numFmtId="0" fontId="1" fillId="3" borderId="18" xfId="3" applyBorder="1" applyAlignment="1">
      <alignment horizontal="center" vertical="center"/>
    </xf>
    <xf numFmtId="0" fontId="11" fillId="3" borderId="6" xfId="3" applyFont="1" applyBorder="1" applyAlignment="1">
      <alignment vertical="center"/>
    </xf>
    <xf numFmtId="0" fontId="9" fillId="3" borderId="5" xfId="3" applyFont="1" applyBorder="1" applyAlignment="1">
      <alignment vertical="center"/>
    </xf>
    <xf numFmtId="0" fontId="0" fillId="3" borderId="0" xfId="3" applyFont="1" applyBorder="1" applyAlignment="1">
      <alignment horizontal="center" vertical="center"/>
    </xf>
    <xf numFmtId="0" fontId="2" fillId="3" borderId="9" xfId="3" applyFont="1" applyBorder="1" applyAlignment="1">
      <alignment vertical="center"/>
    </xf>
    <xf numFmtId="0" fontId="2" fillId="3" borderId="2" xfId="3" applyFont="1" applyBorder="1" applyAlignment="1">
      <alignment vertical="center"/>
    </xf>
    <xf numFmtId="0" fontId="2" fillId="3" borderId="11" xfId="3" applyFont="1" applyBorder="1" applyAlignment="1">
      <alignment vertical="center"/>
    </xf>
    <xf numFmtId="14" fontId="2" fillId="3" borderId="0" xfId="3" applyNumberFormat="1" applyFont="1" applyBorder="1" applyAlignment="1">
      <alignment vertical="center"/>
    </xf>
    <xf numFmtId="0" fontId="2" fillId="3" borderId="0" xfId="3" applyFont="1" applyBorder="1" applyAlignment="1">
      <alignment vertical="center"/>
    </xf>
    <xf numFmtId="0" fontId="2" fillId="3" borderId="12" xfId="3" applyFont="1" applyBorder="1" applyAlignment="1">
      <alignment vertical="center"/>
    </xf>
    <xf numFmtId="0" fontId="2" fillId="3" borderId="3" xfId="3" applyFont="1" applyBorder="1" applyAlignment="1">
      <alignment vertical="center"/>
    </xf>
    <xf numFmtId="0" fontId="6" fillId="5" borderId="14" xfId="3" applyFont="1" applyFill="1" applyBorder="1" applyAlignment="1">
      <alignment horizontal="center" vertical="center"/>
    </xf>
    <xf numFmtId="0" fontId="6" fillId="5" borderId="19" xfId="3" applyFont="1" applyFill="1" applyBorder="1" applyAlignment="1">
      <alignment horizontal="center" vertical="center"/>
    </xf>
    <xf numFmtId="0" fontId="6" fillId="5" borderId="20" xfId="3" applyFont="1" applyFill="1" applyBorder="1" applyAlignment="1">
      <alignment horizontal="center" vertical="center"/>
    </xf>
    <xf numFmtId="0" fontId="12" fillId="3" borderId="4" xfId="3" applyFont="1" applyBorder="1" applyAlignment="1">
      <alignment vertical="center"/>
    </xf>
    <xf numFmtId="0" fontId="12" fillId="3" borderId="0" xfId="3" applyFont="1" applyBorder="1" applyAlignment="1">
      <alignment vertical="center"/>
    </xf>
    <xf numFmtId="0" fontId="12" fillId="3" borderId="10" xfId="3" applyFont="1" applyBorder="1" applyAlignment="1">
      <alignment vertical="center"/>
    </xf>
    <xf numFmtId="0" fontId="12" fillId="3" borderId="0" xfId="3" applyFont="1" applyBorder="1" applyAlignment="1">
      <alignment horizontal="left" vertical="center"/>
    </xf>
    <xf numFmtId="0" fontId="13" fillId="3" borderId="11" xfId="3" applyFont="1" applyBorder="1" applyAlignment="1">
      <alignment vertical="center"/>
    </xf>
    <xf numFmtId="0" fontId="13" fillId="3" borderId="0" xfId="3" applyFont="1" applyBorder="1" applyAlignment="1">
      <alignment vertical="center"/>
    </xf>
    <xf numFmtId="0" fontId="13" fillId="3" borderId="0" xfId="3" applyFont="1" applyBorder="1" applyAlignment="1">
      <alignment horizontal="center" vertical="center"/>
    </xf>
    <xf numFmtId="0" fontId="2" fillId="3" borderId="0" xfId="3" applyFont="1" applyBorder="1" applyAlignment="1">
      <alignment horizontal="right" vertical="center"/>
    </xf>
    <xf numFmtId="164" fontId="2" fillId="3" borderId="13" xfId="3" applyNumberFormat="1" applyFont="1" applyBorder="1" applyAlignment="1">
      <alignment horizontal="center" vertical="center"/>
    </xf>
    <xf numFmtId="0" fontId="10" fillId="3" borderId="0" xfId="3" applyFont="1" applyBorder="1" applyAlignment="1">
      <alignment horizontal="right" vertical="center"/>
    </xf>
    <xf numFmtId="164" fontId="10" fillId="3" borderId="13" xfId="3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7" fillId="0" borderId="1" xfId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3" borderId="4" xfId="3" applyFont="1" applyBorder="1" applyAlignment="1">
      <alignment horizontal="right" vertical="center"/>
    </xf>
    <xf numFmtId="164" fontId="2" fillId="3" borderId="10" xfId="3" applyNumberFormat="1" applyFont="1" applyBorder="1" applyAlignment="1">
      <alignment horizontal="center" vertical="center"/>
    </xf>
    <xf numFmtId="9" fontId="2" fillId="3" borderId="10" xfId="3" applyNumberFormat="1" applyFont="1" applyBorder="1" applyAlignment="1">
      <alignment horizontal="center" vertical="center"/>
    </xf>
    <xf numFmtId="0" fontId="6" fillId="4" borderId="1" xfId="2" applyFont="1" applyFill="1" applyBorder="1" applyAlignment="1">
      <alignment horizontal="center" vertical="center"/>
    </xf>
    <xf numFmtId="0" fontId="2" fillId="3" borderId="3" xfId="3" applyFont="1" applyBorder="1" applyAlignment="1">
      <alignment horizontal="right" vertical="center"/>
    </xf>
    <xf numFmtId="0" fontId="6" fillId="4" borderId="1" xfId="2" applyFont="1" applyFill="1" applyBorder="1" applyAlignment="1">
      <alignment horizontal="center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0" xfId="3" applyFont="1" applyBorder="1" applyAlignment="1">
      <alignment horizontal="center" vertical="center"/>
    </xf>
    <xf numFmtId="0" fontId="8" fillId="3" borderId="10" xfId="3" applyFont="1" applyBorder="1" applyAlignment="1">
      <alignment horizontal="center" vertical="center"/>
    </xf>
    <xf numFmtId="0" fontId="6" fillId="5" borderId="14" xfId="3" applyFont="1" applyFill="1" applyBorder="1" applyAlignment="1">
      <alignment horizontal="center" vertical="center"/>
    </xf>
    <xf numFmtId="0" fontId="6" fillId="5" borderId="1" xfId="3" applyFont="1" applyFill="1" applyBorder="1" applyAlignment="1">
      <alignment horizontal="center" vertical="center"/>
    </xf>
    <xf numFmtId="0" fontId="6" fillId="5" borderId="15" xfId="3" applyFont="1" applyFill="1" applyBorder="1" applyAlignment="1">
      <alignment horizontal="center" vertical="center"/>
    </xf>
    <xf numFmtId="0" fontId="2" fillId="3" borderId="21" xfId="3" applyFont="1" applyBorder="1" applyAlignment="1">
      <alignment horizontal="left" vertical="center"/>
    </xf>
    <xf numFmtId="0" fontId="2" fillId="3" borderId="4" xfId="3" applyFont="1" applyBorder="1" applyAlignment="1">
      <alignment horizontal="left" vertical="center"/>
    </xf>
    <xf numFmtId="0" fontId="3" fillId="3" borderId="16" xfId="3" applyFont="1" applyBorder="1" applyAlignment="1">
      <alignment horizontal="left" vertical="center"/>
    </xf>
    <xf numFmtId="0" fontId="3" fillId="3" borderId="17" xfId="3" applyFont="1" applyBorder="1" applyAlignment="1">
      <alignment horizontal="left" vertical="center"/>
    </xf>
    <xf numFmtId="0" fontId="12" fillId="3" borderId="0" xfId="3" applyFont="1" applyBorder="1" applyAlignment="1">
      <alignment horizontal="left" vertical="center"/>
    </xf>
    <xf numFmtId="14" fontId="12" fillId="3" borderId="0" xfId="3" applyNumberFormat="1" applyFont="1" applyBorder="1" applyAlignment="1">
      <alignment horizontal="left" vertical="center"/>
    </xf>
    <xf numFmtId="0" fontId="1" fillId="3" borderId="11" xfId="3" applyBorder="1" applyAlignment="1">
      <alignment horizontal="left" vertical="center"/>
    </xf>
    <xf numFmtId="0" fontId="1" fillId="3" borderId="0" xfId="3" applyBorder="1" applyAlignment="1">
      <alignment horizontal="left" vertical="center"/>
    </xf>
    <xf numFmtId="0" fontId="2" fillId="3" borderId="11" xfId="3" applyFont="1" applyBorder="1" applyAlignment="1">
      <alignment horizontal="center" vertical="center"/>
    </xf>
    <xf numFmtId="0" fontId="2" fillId="3" borderId="0" xfId="3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4">
    <cellStyle name="20% - Accent5" xfId="3" builtinId="46"/>
    <cellStyle name="40% - Accent4" xfId="2" builtinId="43"/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Inventory</a:t>
            </a:r>
            <a:r>
              <a:rPr lang="en-US" baseline="0"/>
              <a:t> Status Dashboard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19432888597258677"/>
          <c:w val="0.89019685039370078"/>
          <c:h val="0.52879593175853024"/>
        </c:manualLayout>
      </c:layout>
      <c:lineChart>
        <c:grouping val="standard"/>
        <c:varyColors val="0"/>
        <c:ser>
          <c:idx val="0"/>
          <c:order val="0"/>
          <c:tx>
            <c:strRef>
              <c:f>Stock!$K$3</c:f>
              <c:strCache>
                <c:ptCount val="1"/>
                <c:pt idx="0">
                  <c:v>QTY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Stock!$J$4:$J$13</c:f>
              <c:strCache>
                <c:ptCount val="10"/>
                <c:pt idx="0">
                  <c:v>Payar</c:v>
                </c:pt>
                <c:pt idx="1">
                  <c:v>Rice</c:v>
                </c:pt>
                <c:pt idx="2">
                  <c:v>Kadala Black</c:v>
                </c:pt>
                <c:pt idx="3">
                  <c:v>Kadala white</c:v>
                </c:pt>
                <c:pt idx="4">
                  <c:v>Sugar</c:v>
                </c:pt>
                <c:pt idx="5">
                  <c:v>Tea</c:v>
                </c:pt>
                <c:pt idx="6">
                  <c:v>Coffee</c:v>
                </c:pt>
                <c:pt idx="7">
                  <c:v>Milk</c:v>
                </c:pt>
                <c:pt idx="8">
                  <c:v>Chocolate</c:v>
                </c:pt>
                <c:pt idx="9">
                  <c:v>Ice cream</c:v>
                </c:pt>
              </c:strCache>
            </c:strRef>
          </c:cat>
          <c:val>
            <c:numRef>
              <c:f>Stock!$K$4:$K$13</c:f>
              <c:numCache>
                <c:formatCode>General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97329952"/>
        <c:axId val="232749376"/>
      </c:lineChart>
      <c:catAx>
        <c:axId val="29732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49376"/>
        <c:crosses val="autoZero"/>
        <c:auto val="1"/>
        <c:lblAlgn val="ctr"/>
        <c:lblOffset val="100"/>
        <c:noMultiLvlLbl val="0"/>
      </c:catAx>
      <c:valAx>
        <c:axId val="23274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32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2060"/>
    </a:solidFill>
    <a:ln>
      <a:solidFill>
        <a:schemeClr val="accent4">
          <a:lumMod val="60000"/>
          <a:lumOff val="40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Stock!A1"/><Relationship Id="rId1" Type="http://schemas.openxmlformats.org/officeDocument/2006/relationships/hyperlink" Target="#'Sales report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ales report'!A1"/><Relationship Id="rId2" Type="http://schemas.openxmlformats.org/officeDocument/2006/relationships/hyperlink" Target="#Billing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Stock!A1"/><Relationship Id="rId1" Type="http://schemas.openxmlformats.org/officeDocument/2006/relationships/hyperlink" Target="#Billin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42134</xdr:colOff>
      <xdr:row>6</xdr:row>
      <xdr:rowOff>22860</xdr:rowOff>
    </xdr:from>
    <xdr:to>
      <xdr:col>16</xdr:col>
      <xdr:colOff>4034</xdr:colOff>
      <xdr:row>8</xdr:row>
      <xdr:rowOff>198121</xdr:rowOff>
    </xdr:to>
    <xdr:sp macro="[0]!NEW_INVOICE" textlink="">
      <xdr:nvSpPr>
        <xdr:cNvPr id="2" name="Rounded Rectangle 1"/>
        <xdr:cNvSpPr/>
      </xdr:nvSpPr>
      <xdr:spPr>
        <a:xfrm>
          <a:off x="9822628" y="1439284"/>
          <a:ext cx="1790700" cy="605566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NEW INVOICE</a:t>
          </a:r>
        </a:p>
      </xdr:txBody>
    </xdr:sp>
    <xdr:clientData/>
  </xdr:twoCellAnchor>
  <xdr:twoCellAnchor>
    <xdr:from>
      <xdr:col>13</xdr:col>
      <xdr:colOff>49754</xdr:colOff>
      <xdr:row>10</xdr:row>
      <xdr:rowOff>22860</xdr:rowOff>
    </xdr:from>
    <xdr:to>
      <xdr:col>16</xdr:col>
      <xdr:colOff>11654</xdr:colOff>
      <xdr:row>12</xdr:row>
      <xdr:rowOff>198120</xdr:rowOff>
    </xdr:to>
    <xdr:sp macro="[0]!SAVE_DATA" textlink="">
      <xdr:nvSpPr>
        <xdr:cNvPr id="7" name="Rounded Rectangle 6"/>
        <xdr:cNvSpPr/>
      </xdr:nvSpPr>
      <xdr:spPr>
        <a:xfrm>
          <a:off x="9830248" y="2299895"/>
          <a:ext cx="1790700" cy="605566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SAVE DATA</a:t>
          </a:r>
        </a:p>
      </xdr:txBody>
    </xdr:sp>
    <xdr:clientData/>
  </xdr:twoCellAnchor>
  <xdr:twoCellAnchor>
    <xdr:from>
      <xdr:col>13</xdr:col>
      <xdr:colOff>57374</xdr:colOff>
      <xdr:row>14</xdr:row>
      <xdr:rowOff>7620</xdr:rowOff>
    </xdr:from>
    <xdr:to>
      <xdr:col>16</xdr:col>
      <xdr:colOff>19274</xdr:colOff>
      <xdr:row>16</xdr:row>
      <xdr:rowOff>182880</xdr:rowOff>
    </xdr:to>
    <xdr:sp macro="[0]!PRINT_INVOICE" textlink="">
      <xdr:nvSpPr>
        <xdr:cNvPr id="8" name="Rounded Rectangle 7"/>
        <xdr:cNvSpPr/>
      </xdr:nvSpPr>
      <xdr:spPr>
        <a:xfrm>
          <a:off x="9837868" y="3145267"/>
          <a:ext cx="1790700" cy="605566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PRINT INVOICE</a:t>
          </a:r>
        </a:p>
      </xdr:txBody>
    </xdr:sp>
    <xdr:clientData/>
  </xdr:twoCellAnchor>
  <xdr:twoCellAnchor>
    <xdr:from>
      <xdr:col>13</xdr:col>
      <xdr:colOff>49754</xdr:colOff>
      <xdr:row>18</xdr:row>
      <xdr:rowOff>15240</xdr:rowOff>
    </xdr:from>
    <xdr:to>
      <xdr:col>16</xdr:col>
      <xdr:colOff>11654</xdr:colOff>
      <xdr:row>20</xdr:row>
      <xdr:rowOff>190500</xdr:rowOff>
    </xdr:to>
    <xdr:sp macro="[0]!SAVE_PDF" textlink="">
      <xdr:nvSpPr>
        <xdr:cNvPr id="9" name="Rounded Rectangle 8"/>
        <xdr:cNvSpPr/>
      </xdr:nvSpPr>
      <xdr:spPr>
        <a:xfrm>
          <a:off x="9830248" y="4013499"/>
          <a:ext cx="1790700" cy="605566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SAVE PDF</a:t>
          </a:r>
        </a:p>
      </xdr:txBody>
    </xdr:sp>
    <xdr:clientData/>
  </xdr:twoCellAnchor>
  <xdr:twoCellAnchor>
    <xdr:from>
      <xdr:col>13</xdr:col>
      <xdr:colOff>49754</xdr:colOff>
      <xdr:row>22</xdr:row>
      <xdr:rowOff>15240</xdr:rowOff>
    </xdr:from>
    <xdr:to>
      <xdr:col>16</xdr:col>
      <xdr:colOff>11654</xdr:colOff>
      <xdr:row>24</xdr:row>
      <xdr:rowOff>190501</xdr:rowOff>
    </xdr:to>
    <xdr:sp macro="" textlink="">
      <xdr:nvSpPr>
        <xdr:cNvPr id="10" name="Rounded Rectangle 9">
          <a:hlinkClick xmlns:r="http://schemas.openxmlformats.org/officeDocument/2006/relationships" r:id="rId1"/>
        </xdr:cNvPr>
        <xdr:cNvSpPr/>
      </xdr:nvSpPr>
      <xdr:spPr>
        <a:xfrm>
          <a:off x="9830248" y="4874111"/>
          <a:ext cx="1790700" cy="605566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SALES REPORT</a:t>
          </a:r>
        </a:p>
      </xdr:txBody>
    </xdr:sp>
    <xdr:clientData/>
  </xdr:twoCellAnchor>
  <xdr:twoCellAnchor>
    <xdr:from>
      <xdr:col>13</xdr:col>
      <xdr:colOff>57374</xdr:colOff>
      <xdr:row>26</xdr:row>
      <xdr:rowOff>22861</xdr:rowOff>
    </xdr:from>
    <xdr:to>
      <xdr:col>16</xdr:col>
      <xdr:colOff>19274</xdr:colOff>
      <xdr:row>28</xdr:row>
      <xdr:rowOff>198120</xdr:rowOff>
    </xdr:to>
    <xdr:sp macro="" textlink="">
      <xdr:nvSpPr>
        <xdr:cNvPr id="11" name="Rounded Rectangle 10">
          <a:hlinkClick xmlns:r="http://schemas.openxmlformats.org/officeDocument/2006/relationships" r:id="rId2"/>
        </xdr:cNvPr>
        <xdr:cNvSpPr/>
      </xdr:nvSpPr>
      <xdr:spPr>
        <a:xfrm>
          <a:off x="9837868" y="5742343"/>
          <a:ext cx="1790700" cy="605565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13</xdr:col>
      <xdr:colOff>34365</xdr:colOff>
      <xdr:row>2</xdr:row>
      <xdr:rowOff>35857</xdr:rowOff>
    </xdr:from>
    <xdr:to>
      <xdr:col>15</xdr:col>
      <xdr:colOff>605865</xdr:colOff>
      <xdr:row>4</xdr:row>
      <xdr:rowOff>211117</xdr:rowOff>
    </xdr:to>
    <xdr:sp macro="[0]!NEW_CUSTOMER" textlink="">
      <xdr:nvSpPr>
        <xdr:cNvPr id="12" name="Rounded Rectangle 11"/>
        <xdr:cNvSpPr/>
      </xdr:nvSpPr>
      <xdr:spPr>
        <a:xfrm>
          <a:off x="9814859" y="591669"/>
          <a:ext cx="1790700" cy="605566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NEW CUSTOMER</a:t>
          </a:r>
        </a:p>
      </xdr:txBody>
    </xdr:sp>
    <xdr:clientData/>
  </xdr:twoCellAnchor>
  <xdr:twoCellAnchor>
    <xdr:from>
      <xdr:col>11</xdr:col>
      <xdr:colOff>8968</xdr:colOff>
      <xdr:row>2</xdr:row>
      <xdr:rowOff>116541</xdr:rowOff>
    </xdr:from>
    <xdr:to>
      <xdr:col>12</xdr:col>
      <xdr:colOff>377776</xdr:colOff>
      <xdr:row>4</xdr:row>
      <xdr:rowOff>170867</xdr:rowOff>
    </xdr:to>
    <xdr:sp macro="" textlink="">
      <xdr:nvSpPr>
        <xdr:cNvPr id="3" name="Right Arrow 2"/>
        <xdr:cNvSpPr/>
      </xdr:nvSpPr>
      <xdr:spPr>
        <a:xfrm>
          <a:off x="8570262" y="672353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8966</xdr:colOff>
      <xdr:row>6</xdr:row>
      <xdr:rowOff>98611</xdr:rowOff>
    </xdr:from>
    <xdr:to>
      <xdr:col>12</xdr:col>
      <xdr:colOff>377774</xdr:colOff>
      <xdr:row>8</xdr:row>
      <xdr:rowOff>152938</xdr:rowOff>
    </xdr:to>
    <xdr:sp macro="" textlink="">
      <xdr:nvSpPr>
        <xdr:cNvPr id="13" name="Right Arrow 12"/>
        <xdr:cNvSpPr/>
      </xdr:nvSpPr>
      <xdr:spPr>
        <a:xfrm>
          <a:off x="8570260" y="1515035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17930</xdr:colOff>
      <xdr:row>10</xdr:row>
      <xdr:rowOff>107577</xdr:rowOff>
    </xdr:from>
    <xdr:to>
      <xdr:col>12</xdr:col>
      <xdr:colOff>386738</xdr:colOff>
      <xdr:row>12</xdr:row>
      <xdr:rowOff>161903</xdr:rowOff>
    </xdr:to>
    <xdr:sp macro="" textlink="">
      <xdr:nvSpPr>
        <xdr:cNvPr id="14" name="Right Arrow 13"/>
        <xdr:cNvSpPr/>
      </xdr:nvSpPr>
      <xdr:spPr>
        <a:xfrm>
          <a:off x="8579224" y="2384612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</xdr:colOff>
      <xdr:row>14</xdr:row>
      <xdr:rowOff>71717</xdr:rowOff>
    </xdr:from>
    <xdr:to>
      <xdr:col>12</xdr:col>
      <xdr:colOff>368811</xdr:colOff>
      <xdr:row>16</xdr:row>
      <xdr:rowOff>126043</xdr:rowOff>
    </xdr:to>
    <xdr:sp macro="" textlink="">
      <xdr:nvSpPr>
        <xdr:cNvPr id="15" name="Right Arrow 14"/>
        <xdr:cNvSpPr/>
      </xdr:nvSpPr>
      <xdr:spPr>
        <a:xfrm>
          <a:off x="8561297" y="3209364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</xdr:colOff>
      <xdr:row>18</xdr:row>
      <xdr:rowOff>53787</xdr:rowOff>
    </xdr:from>
    <xdr:to>
      <xdr:col>12</xdr:col>
      <xdr:colOff>368809</xdr:colOff>
      <xdr:row>20</xdr:row>
      <xdr:rowOff>108113</xdr:rowOff>
    </xdr:to>
    <xdr:sp macro="" textlink="">
      <xdr:nvSpPr>
        <xdr:cNvPr id="16" name="Right Arrow 15"/>
        <xdr:cNvSpPr/>
      </xdr:nvSpPr>
      <xdr:spPr>
        <a:xfrm>
          <a:off x="8561295" y="4052046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8965</xdr:colOff>
      <xdr:row>22</xdr:row>
      <xdr:rowOff>62752</xdr:rowOff>
    </xdr:from>
    <xdr:to>
      <xdr:col>12</xdr:col>
      <xdr:colOff>377773</xdr:colOff>
      <xdr:row>24</xdr:row>
      <xdr:rowOff>117079</xdr:rowOff>
    </xdr:to>
    <xdr:sp macro="" textlink="">
      <xdr:nvSpPr>
        <xdr:cNvPr id="17" name="Right Arrow 16"/>
        <xdr:cNvSpPr/>
      </xdr:nvSpPr>
      <xdr:spPr>
        <a:xfrm>
          <a:off x="8570259" y="4921623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17925</xdr:colOff>
      <xdr:row>26</xdr:row>
      <xdr:rowOff>80682</xdr:rowOff>
    </xdr:from>
    <xdr:to>
      <xdr:col>12</xdr:col>
      <xdr:colOff>386733</xdr:colOff>
      <xdr:row>28</xdr:row>
      <xdr:rowOff>135008</xdr:rowOff>
    </xdr:to>
    <xdr:sp macro="" textlink="">
      <xdr:nvSpPr>
        <xdr:cNvPr id="18" name="Right Arrow 17"/>
        <xdr:cNvSpPr/>
      </xdr:nvSpPr>
      <xdr:spPr>
        <a:xfrm>
          <a:off x="8579219" y="5800164"/>
          <a:ext cx="978408" cy="484632"/>
        </a:xfrm>
        <a:prstGeom prst="righ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9277</xdr:colOff>
      <xdr:row>13</xdr:row>
      <xdr:rowOff>173272</xdr:rowOff>
    </xdr:from>
    <xdr:to>
      <xdr:col>14</xdr:col>
      <xdr:colOff>784860</xdr:colOff>
      <xdr:row>27</xdr:row>
      <xdr:rowOff>137160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899160</xdr:colOff>
      <xdr:row>0</xdr:row>
      <xdr:rowOff>60960</xdr:rowOff>
    </xdr:from>
    <xdr:to>
      <xdr:col>12</xdr:col>
      <xdr:colOff>510540</xdr:colOff>
      <xdr:row>0</xdr:row>
      <xdr:rowOff>659553</xdr:rowOff>
    </xdr:to>
    <xdr:sp macro="[0]!NEW_INVOICE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162800" y="60960"/>
          <a:ext cx="1790700" cy="598593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BILLING</a:t>
          </a:r>
        </a:p>
      </xdr:txBody>
    </xdr:sp>
    <xdr:clientData/>
  </xdr:twoCellAnchor>
  <xdr:twoCellAnchor>
    <xdr:from>
      <xdr:col>13</xdr:col>
      <xdr:colOff>15240</xdr:colOff>
      <xdr:row>0</xdr:row>
      <xdr:rowOff>45720</xdr:rowOff>
    </xdr:from>
    <xdr:to>
      <xdr:col>14</xdr:col>
      <xdr:colOff>784860</xdr:colOff>
      <xdr:row>0</xdr:row>
      <xdr:rowOff>644313</xdr:rowOff>
    </xdr:to>
    <xdr:sp macro="[0]!NEW_INVOICE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9067800" y="45720"/>
          <a:ext cx="1790700" cy="598593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SALES REPORT</a:t>
          </a:r>
        </a:p>
      </xdr:txBody>
    </xdr:sp>
    <xdr:clientData/>
  </xdr:twoCellAnchor>
  <xdr:twoCellAnchor>
    <xdr:from>
      <xdr:col>0</xdr:col>
      <xdr:colOff>0</xdr:colOff>
      <xdr:row>0</xdr:row>
      <xdr:rowOff>53341</xdr:rowOff>
    </xdr:from>
    <xdr:to>
      <xdr:col>9</xdr:col>
      <xdr:colOff>807720</xdr:colOff>
      <xdr:row>0</xdr:row>
      <xdr:rowOff>678181</xdr:rowOff>
    </xdr:to>
    <xdr:sp macro="[0]!NEW_INVOICE" textlink="">
      <xdr:nvSpPr>
        <xdr:cNvPr id="5" name="Rounded Rectangle 4"/>
        <xdr:cNvSpPr/>
      </xdr:nvSpPr>
      <xdr:spPr>
        <a:xfrm>
          <a:off x="0" y="53341"/>
          <a:ext cx="7071360" cy="624840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slope"/>
          <a:bevelB prst="slope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AUTOMATIC</a:t>
          </a:r>
          <a:r>
            <a:rPr lang="en-IN" sz="1800" b="1" baseline="0">
              <a:solidFill>
                <a:schemeClr val="bg1"/>
              </a:solidFill>
            </a:rPr>
            <a:t> INVOICE &amp; SALES MANAGEMENT SYSTEM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411480</xdr:colOff>
      <xdr:row>0</xdr:row>
      <xdr:rowOff>38100</xdr:rowOff>
    </xdr:from>
    <xdr:to>
      <xdr:col>6</xdr:col>
      <xdr:colOff>556260</xdr:colOff>
      <xdr:row>0</xdr:row>
      <xdr:rowOff>636693</xdr:rowOff>
    </xdr:to>
    <xdr:sp macro="[0]!NEW_INVOICE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97680" y="38100"/>
          <a:ext cx="1790700" cy="598593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BILLING</a:t>
          </a:r>
        </a:p>
      </xdr:txBody>
    </xdr:sp>
    <xdr:clientData/>
  </xdr:twoCellAnchor>
  <xdr:twoCellAnchor>
    <xdr:from>
      <xdr:col>6</xdr:col>
      <xdr:colOff>632460</xdr:colOff>
      <xdr:row>0</xdr:row>
      <xdr:rowOff>38100</xdr:rowOff>
    </xdr:from>
    <xdr:to>
      <xdr:col>8</xdr:col>
      <xdr:colOff>777240</xdr:colOff>
      <xdr:row>0</xdr:row>
      <xdr:rowOff>636693</xdr:rowOff>
    </xdr:to>
    <xdr:sp macro="[0]!NEW_INVOICE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6164580" y="38100"/>
          <a:ext cx="1790700" cy="598593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relaxedInset"/>
          <a:bevelB w="152400" h="50800" prst="softRound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0</xdr:col>
      <xdr:colOff>53340</xdr:colOff>
      <xdr:row>0</xdr:row>
      <xdr:rowOff>30480</xdr:rowOff>
    </xdr:from>
    <xdr:to>
      <xdr:col>4</xdr:col>
      <xdr:colOff>243840</xdr:colOff>
      <xdr:row>0</xdr:row>
      <xdr:rowOff>655320</xdr:rowOff>
    </xdr:to>
    <xdr:sp macro="[0]!NEW_INVOICE" textlink="">
      <xdr:nvSpPr>
        <xdr:cNvPr id="4" name="Rounded Rectangle 3"/>
        <xdr:cNvSpPr/>
      </xdr:nvSpPr>
      <xdr:spPr>
        <a:xfrm>
          <a:off x="53340" y="30480"/>
          <a:ext cx="4076700" cy="624840"/>
        </a:xfrm>
        <a:prstGeom prst="roundRect">
          <a:avLst/>
        </a:prstGeom>
        <a:solidFill>
          <a:srgbClr val="7030A0"/>
        </a:solidFill>
        <a:effectLst>
          <a:outerShdw blurRad="101600" dir="16020000" sx="104000" sy="104000" algn="ctr" rotWithShape="0">
            <a:srgbClr val="000000">
              <a:alpha val="43137"/>
            </a:srgbClr>
          </a:outerShdw>
          <a:softEdge rad="533400"/>
        </a:effectLst>
        <a:scene3d>
          <a:camera prst="orthographicFront"/>
          <a:lightRig rig="freezing" dir="t"/>
        </a:scene3d>
        <a:sp3d extrusionH="76200" contourW="12700" prstMaterial="dkEdge">
          <a:bevelT prst="slope"/>
          <a:bevelB prst="slope"/>
          <a:extrusionClr>
            <a:srgbClr val="7030A0"/>
          </a:extrusionClr>
          <a:contourClr>
            <a:srgbClr val="7030A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SALES</a:t>
          </a:r>
          <a:r>
            <a:rPr lang="en-IN" sz="1800" b="1" baseline="0">
              <a:solidFill>
                <a:schemeClr val="bg1"/>
              </a:solidFill>
            </a:rPr>
            <a:t>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C1:P124"/>
  <sheetViews>
    <sheetView tabSelected="1" zoomScale="85" zoomScaleNormal="85" workbookViewId="0"/>
  </sheetViews>
  <sheetFormatPr defaultRowHeight="14.4" x14ac:dyDescent="0.3"/>
  <cols>
    <col min="1" max="2" width="8.88671875" style="1"/>
    <col min="3" max="3" width="13" style="1" customWidth="1"/>
    <col min="4" max="4" width="20.44140625" style="1" customWidth="1"/>
    <col min="5" max="6" width="9.44140625" style="1" customWidth="1"/>
    <col min="7" max="7" width="10.6640625" style="1" customWidth="1"/>
    <col min="8" max="8" width="9.44140625" style="1" customWidth="1"/>
    <col min="9" max="9" width="15.21875" style="1" bestFit="1" customWidth="1"/>
    <col min="10" max="10" width="13.6640625" style="1" customWidth="1"/>
    <col min="11" max="16384" width="8.88671875" style="1"/>
  </cols>
  <sheetData>
    <row r="1" spans="3:16" ht="15" thickBot="1" x14ac:dyDescent="0.35"/>
    <row r="2" spans="3:16" ht="28.8" customHeight="1" thickBot="1" x14ac:dyDescent="0.35">
      <c r="C2" s="27" t="s">
        <v>139</v>
      </c>
      <c r="D2" s="26"/>
      <c r="E2" s="16"/>
      <c r="F2" s="61" t="s">
        <v>49</v>
      </c>
      <c r="G2" s="61"/>
      <c r="H2" s="61"/>
      <c r="I2" s="61"/>
      <c r="J2" s="62"/>
      <c r="K2" s="12"/>
      <c r="L2" s="12"/>
      <c r="M2" s="12"/>
      <c r="N2" s="12"/>
      <c r="O2" s="12"/>
      <c r="P2" s="12"/>
    </row>
    <row r="3" spans="3:16" ht="16.8" customHeight="1" thickTop="1" x14ac:dyDescent="0.3">
      <c r="C3" s="29" t="s">
        <v>140</v>
      </c>
      <c r="D3" s="30"/>
      <c r="E3" s="30"/>
      <c r="F3" s="63"/>
      <c r="G3" s="63"/>
      <c r="H3" s="63"/>
      <c r="I3" s="63"/>
      <c r="J3" s="64"/>
      <c r="K3" s="12"/>
      <c r="L3" s="12"/>
      <c r="M3" s="12"/>
      <c r="N3" s="12"/>
      <c r="O3" s="12"/>
      <c r="P3" s="12"/>
    </row>
    <row r="4" spans="3:16" ht="16.8" customHeight="1" x14ac:dyDescent="0.3">
      <c r="C4" s="31" t="s">
        <v>50</v>
      </c>
      <c r="D4" s="32"/>
      <c r="E4" s="33"/>
      <c r="F4" s="17"/>
      <c r="G4" s="17"/>
      <c r="H4" s="17"/>
      <c r="I4" s="17"/>
      <c r="J4" s="18"/>
      <c r="K4" s="12"/>
      <c r="L4" s="12"/>
      <c r="M4" s="12"/>
      <c r="N4" s="12"/>
      <c r="O4" s="12"/>
      <c r="P4" s="12"/>
    </row>
    <row r="5" spans="3:16" ht="16.8" customHeight="1" x14ac:dyDescent="0.3">
      <c r="C5" s="34" t="s">
        <v>51</v>
      </c>
      <c r="D5" s="35"/>
      <c r="E5" s="35"/>
      <c r="F5" s="17"/>
      <c r="G5" s="28" t="s">
        <v>141</v>
      </c>
      <c r="H5" s="17"/>
      <c r="I5" s="17"/>
      <c r="J5" s="18"/>
      <c r="K5" s="12"/>
      <c r="L5" s="12"/>
      <c r="M5" s="12"/>
      <c r="N5" s="12"/>
      <c r="O5" s="12"/>
      <c r="P5" s="12"/>
    </row>
    <row r="6" spans="3:16" ht="16.8" customHeight="1" x14ac:dyDescent="0.3">
      <c r="C6" s="68" t="s">
        <v>60</v>
      </c>
      <c r="D6" s="69"/>
      <c r="E6" s="69"/>
      <c r="F6" s="17"/>
      <c r="G6" s="17"/>
      <c r="H6" s="17"/>
      <c r="I6" s="17"/>
      <c r="J6" s="18"/>
      <c r="K6" s="12"/>
      <c r="L6" s="12"/>
      <c r="M6" s="12"/>
      <c r="N6" s="12"/>
      <c r="O6" s="12"/>
      <c r="P6" s="12"/>
    </row>
    <row r="7" spans="3:16" ht="16.8" customHeight="1" x14ac:dyDescent="0.3">
      <c r="C7" s="65" t="s">
        <v>52</v>
      </c>
      <c r="D7" s="66"/>
      <c r="E7" s="66"/>
      <c r="F7" s="66"/>
      <c r="G7" s="66"/>
      <c r="H7" s="66"/>
      <c r="I7" s="66"/>
      <c r="J7" s="67"/>
      <c r="K7" s="12"/>
      <c r="L7" s="12"/>
      <c r="M7" s="12"/>
      <c r="N7" s="12"/>
      <c r="O7" s="12"/>
      <c r="P7" s="12"/>
    </row>
    <row r="8" spans="3:16" ht="16.8" customHeight="1" x14ac:dyDescent="0.3">
      <c r="C8" s="43" t="s">
        <v>53</v>
      </c>
      <c r="D8" s="39"/>
      <c r="E8" s="39"/>
      <c r="F8" s="40"/>
      <c r="G8" s="44" t="s">
        <v>56</v>
      </c>
      <c r="H8" s="45"/>
      <c r="I8" s="40"/>
      <c r="J8" s="41"/>
      <c r="K8" s="12"/>
      <c r="L8" s="12"/>
      <c r="M8" s="12"/>
      <c r="N8" s="12"/>
      <c r="O8" s="12"/>
      <c r="P8" s="12"/>
    </row>
    <row r="9" spans="3:16" ht="16.8" customHeight="1" x14ac:dyDescent="0.3">
      <c r="C9" s="43" t="s">
        <v>45</v>
      </c>
      <c r="D9" s="40" t="s">
        <v>70</v>
      </c>
      <c r="E9" s="40"/>
      <c r="F9" s="40"/>
      <c r="G9" s="44" t="s">
        <v>57</v>
      </c>
      <c r="H9" s="73">
        <f ca="1">TODAY()</f>
        <v>44653</v>
      </c>
      <c r="I9" s="72"/>
      <c r="J9" s="41"/>
      <c r="K9" s="12"/>
      <c r="L9" s="12"/>
      <c r="M9" s="12"/>
      <c r="N9" s="12"/>
      <c r="O9" s="12"/>
      <c r="P9" s="12"/>
    </row>
    <row r="10" spans="3:16" ht="16.8" customHeight="1" x14ac:dyDescent="0.3">
      <c r="C10" s="43" t="s">
        <v>54</v>
      </c>
      <c r="D10" s="42" t="s">
        <v>71</v>
      </c>
      <c r="E10" s="44" t="s">
        <v>68</v>
      </c>
      <c r="F10" s="42">
        <v>695462</v>
      </c>
      <c r="G10" s="44" t="s">
        <v>58</v>
      </c>
      <c r="H10" s="40">
        <v>123323</v>
      </c>
      <c r="I10" s="40"/>
      <c r="J10" s="41"/>
      <c r="K10" s="12"/>
      <c r="L10" s="12"/>
      <c r="M10" s="12"/>
      <c r="N10" s="12"/>
      <c r="O10" s="12"/>
      <c r="P10" s="12"/>
    </row>
    <row r="11" spans="3:16" ht="16.8" customHeight="1" x14ac:dyDescent="0.3">
      <c r="C11" s="43" t="s">
        <v>55</v>
      </c>
      <c r="D11" s="72">
        <v>9568486532</v>
      </c>
      <c r="E11" s="72"/>
      <c r="F11" s="40"/>
      <c r="G11" s="44" t="s">
        <v>59</v>
      </c>
      <c r="H11" s="40" t="s">
        <v>121</v>
      </c>
      <c r="I11" s="40"/>
      <c r="J11" s="41"/>
      <c r="K11" s="12"/>
      <c r="L11" s="12"/>
      <c r="M11" s="12"/>
      <c r="N11" s="12"/>
      <c r="O11" s="12"/>
      <c r="P11" s="12"/>
    </row>
    <row r="12" spans="3:16" s="6" customFormat="1" ht="16.8" customHeight="1" x14ac:dyDescent="0.3">
      <c r="C12" s="36" t="s">
        <v>33</v>
      </c>
      <c r="D12" s="37" t="s">
        <v>34</v>
      </c>
      <c r="E12" s="37" t="s">
        <v>35</v>
      </c>
      <c r="F12" s="37" t="s">
        <v>36</v>
      </c>
      <c r="G12" s="37" t="s">
        <v>37</v>
      </c>
      <c r="H12" s="37" t="s">
        <v>6</v>
      </c>
      <c r="I12" s="37" t="s">
        <v>38</v>
      </c>
      <c r="J12" s="38" t="s">
        <v>39</v>
      </c>
      <c r="K12" s="12"/>
      <c r="L12" s="12"/>
      <c r="M12" s="12"/>
      <c r="N12" s="12"/>
      <c r="O12" s="12"/>
      <c r="P12" s="12"/>
    </row>
    <row r="13" spans="3:16" ht="16.8" customHeight="1" x14ac:dyDescent="0.3">
      <c r="C13" s="19"/>
      <c r="D13" s="20" t="str">
        <f>IFERROR(VLOOKUP(C13,Stock!$B$4:$C$13,2,0),"")</f>
        <v/>
      </c>
      <c r="E13" s="13" t="str">
        <f>IFERROR(VLOOKUP(C13,Stock!B4:$D$13,3,0),"")</f>
        <v/>
      </c>
      <c r="F13" s="14" t="str">
        <f>IFERROR(VLOOKUP(C13,Stock!B4:$E$13,4,0),"")</f>
        <v/>
      </c>
      <c r="G13" s="15" t="str">
        <f>IFERROR(VLOOKUP(C13,Stock!$B$4:$F$13,5,0),"")</f>
        <v/>
      </c>
      <c r="H13" s="13"/>
      <c r="I13" s="15" t="str">
        <f>IFERROR(G13*H13,"")</f>
        <v/>
      </c>
      <c r="J13" s="21" t="str">
        <f>IFERROR(I13+(I13*F13),"")</f>
        <v/>
      </c>
      <c r="K13" s="12"/>
      <c r="L13" s="12"/>
      <c r="M13" s="12"/>
      <c r="N13" s="12"/>
      <c r="O13" s="12"/>
      <c r="P13" s="12"/>
    </row>
    <row r="14" spans="3:16" ht="16.8" customHeight="1" x14ac:dyDescent="0.3">
      <c r="C14" s="19"/>
      <c r="D14" s="20" t="str">
        <f>IFERROR(VLOOKUP(C14,Stock!$B$4:$C$13,2,0),"")</f>
        <v/>
      </c>
      <c r="E14" s="13" t="str">
        <f>IFERROR(VLOOKUP(C14,Stock!B5:$D$13,3,0),"")</f>
        <v/>
      </c>
      <c r="F14" s="14" t="str">
        <f>IFERROR(VLOOKUP(C14,Stock!B5:$E$13,4,0),"")</f>
        <v/>
      </c>
      <c r="G14" s="15" t="str">
        <f>IFERROR(VLOOKUP(C14,Stock!$B$4:$F$13,5,0),"")</f>
        <v/>
      </c>
      <c r="H14" s="13"/>
      <c r="I14" s="15" t="str">
        <f t="shared" ref="I14:I24" si="0">IFERROR(G14*H14,"")</f>
        <v/>
      </c>
      <c r="J14" s="21" t="str">
        <f t="shared" ref="J14:J24" si="1">IFERROR(I14+(I14*F14),"")</f>
        <v/>
      </c>
      <c r="K14" s="12"/>
      <c r="L14" s="12"/>
      <c r="M14" s="12"/>
      <c r="N14" s="12"/>
      <c r="O14" s="12"/>
      <c r="P14" s="12"/>
    </row>
    <row r="15" spans="3:16" ht="16.8" customHeight="1" x14ac:dyDescent="0.3">
      <c r="C15" s="19"/>
      <c r="D15" s="20" t="str">
        <f>IFERROR(VLOOKUP(C15,Stock!$B$4:$C$13,2,0),"")</f>
        <v/>
      </c>
      <c r="E15" s="13" t="str">
        <f>IFERROR(VLOOKUP(C15,Stock!B6:$D$13,3,0),"")</f>
        <v/>
      </c>
      <c r="F15" s="14" t="str">
        <f>IFERROR(VLOOKUP(C15,Stock!B6:$E$13,4,0),"")</f>
        <v/>
      </c>
      <c r="G15" s="15" t="str">
        <f>IFERROR(VLOOKUP(C15,Stock!$B$4:$F$13,5,0),"")</f>
        <v/>
      </c>
      <c r="H15" s="13"/>
      <c r="I15" s="15" t="str">
        <f t="shared" si="0"/>
        <v/>
      </c>
      <c r="J15" s="21" t="str">
        <f t="shared" si="1"/>
        <v/>
      </c>
      <c r="K15" s="12"/>
      <c r="L15" s="12"/>
      <c r="M15" s="12"/>
      <c r="N15" s="12"/>
      <c r="O15" s="12"/>
      <c r="P15" s="12"/>
    </row>
    <row r="16" spans="3:16" ht="16.8" customHeight="1" x14ac:dyDescent="0.3">
      <c r="C16" s="19"/>
      <c r="D16" s="20" t="str">
        <f>IFERROR(VLOOKUP(C16,Stock!$B$4:$C$13,2,0),"")</f>
        <v/>
      </c>
      <c r="E16" s="13" t="str">
        <f>IFERROR(VLOOKUP(C16,Stock!B7:$D$13,3,0),"")</f>
        <v/>
      </c>
      <c r="F16" s="14" t="str">
        <f>IFERROR(VLOOKUP(C16,Stock!B7:$E$13,4,0),"")</f>
        <v/>
      </c>
      <c r="G16" s="15" t="str">
        <f>IFERROR(VLOOKUP(C16,Stock!$B$4:$F$13,5,0),"")</f>
        <v/>
      </c>
      <c r="H16" s="13"/>
      <c r="I16" s="15" t="str">
        <f t="shared" si="0"/>
        <v/>
      </c>
      <c r="J16" s="21" t="str">
        <f t="shared" si="1"/>
        <v/>
      </c>
      <c r="K16" s="12"/>
      <c r="L16" s="12"/>
      <c r="M16" s="12"/>
      <c r="N16" s="12"/>
      <c r="O16" s="12"/>
      <c r="P16" s="12"/>
    </row>
    <row r="17" spans="3:16" ht="16.8" customHeight="1" x14ac:dyDescent="0.3">
      <c r="C17" s="19"/>
      <c r="D17" s="20" t="str">
        <f>IFERROR(VLOOKUP(C17,Stock!$B$4:$C$13,2,0),"")</f>
        <v/>
      </c>
      <c r="E17" s="13" t="str">
        <f>IFERROR(VLOOKUP(C17,Stock!B8:$D$13,3,0),"")</f>
        <v/>
      </c>
      <c r="F17" s="14" t="str">
        <f>IFERROR(VLOOKUP(C17,Stock!B8:$E$13,4,0),"")</f>
        <v/>
      </c>
      <c r="G17" s="15" t="str">
        <f>IFERROR(VLOOKUP(C17,Stock!$B$4:$F$13,5,0),"")</f>
        <v/>
      </c>
      <c r="H17" s="13"/>
      <c r="I17" s="15" t="str">
        <f t="shared" si="0"/>
        <v/>
      </c>
      <c r="J17" s="21" t="str">
        <f t="shared" si="1"/>
        <v/>
      </c>
      <c r="K17" s="12"/>
      <c r="L17" s="12"/>
      <c r="M17" s="12"/>
      <c r="N17" s="12"/>
      <c r="O17" s="12"/>
      <c r="P17" s="12"/>
    </row>
    <row r="18" spans="3:16" ht="16.8" customHeight="1" x14ac:dyDescent="0.3">
      <c r="C18" s="19"/>
      <c r="D18" s="20" t="str">
        <f>IFERROR(VLOOKUP(C18,Stock!$B$4:$C$13,2,0),"")</f>
        <v/>
      </c>
      <c r="E18" s="13" t="str">
        <f>IFERROR(VLOOKUP(C18,Stock!B9:$D$13,3,0),"")</f>
        <v/>
      </c>
      <c r="F18" s="14" t="str">
        <f>IFERROR(VLOOKUP(C18,Stock!B9:$E$13,4,0),"")</f>
        <v/>
      </c>
      <c r="G18" s="15" t="str">
        <f>IFERROR(VLOOKUP(C18,Stock!$B$4:$F$13,5,0),"")</f>
        <v/>
      </c>
      <c r="H18" s="13"/>
      <c r="I18" s="15" t="str">
        <f t="shared" si="0"/>
        <v/>
      </c>
      <c r="J18" s="21" t="str">
        <f t="shared" si="1"/>
        <v/>
      </c>
      <c r="K18" s="12"/>
      <c r="L18" s="12"/>
      <c r="M18" s="12"/>
      <c r="N18" s="12"/>
      <c r="O18" s="12"/>
      <c r="P18" s="12"/>
    </row>
    <row r="19" spans="3:16" ht="16.8" customHeight="1" x14ac:dyDescent="0.3">
      <c r="C19" s="19"/>
      <c r="D19" s="20" t="str">
        <f>IFERROR(VLOOKUP(C19,Stock!$B$4:$C$13,2,0),"")</f>
        <v/>
      </c>
      <c r="E19" s="13" t="str">
        <f>IFERROR(VLOOKUP(C19,Stock!B10:$D$13,3,0),"")</f>
        <v/>
      </c>
      <c r="F19" s="14" t="str">
        <f>IFERROR(VLOOKUP(C19,Stock!B10:$E$13,4,0),"")</f>
        <v/>
      </c>
      <c r="G19" s="15" t="str">
        <f>IFERROR(VLOOKUP(C19,Stock!$B$4:$F$13,5,0),"")</f>
        <v/>
      </c>
      <c r="H19" s="13"/>
      <c r="I19" s="15" t="str">
        <f t="shared" si="0"/>
        <v/>
      </c>
      <c r="J19" s="21" t="str">
        <f t="shared" si="1"/>
        <v/>
      </c>
      <c r="K19" s="12"/>
      <c r="L19" s="12"/>
      <c r="M19" s="12"/>
      <c r="N19" s="12"/>
      <c r="O19" s="12"/>
      <c r="P19" s="12"/>
    </row>
    <row r="20" spans="3:16" ht="16.8" customHeight="1" x14ac:dyDescent="0.3">
      <c r="C20" s="19"/>
      <c r="D20" s="20" t="str">
        <f>IFERROR(VLOOKUP(C20,Stock!$B$4:$C$13,2,0),"")</f>
        <v/>
      </c>
      <c r="E20" s="13" t="str">
        <f>IFERROR(VLOOKUP(C20,Stock!B11:$D$13,3,0),"")</f>
        <v/>
      </c>
      <c r="F20" s="14" t="str">
        <f>IFERROR(VLOOKUP(C20,Stock!B11:$E$13,4,0),"")</f>
        <v/>
      </c>
      <c r="G20" s="15" t="str">
        <f>IFERROR(VLOOKUP(C20,Stock!$B$4:$F$13,5,0),"")</f>
        <v/>
      </c>
      <c r="H20" s="13"/>
      <c r="I20" s="15" t="str">
        <f t="shared" si="0"/>
        <v/>
      </c>
      <c r="J20" s="21" t="str">
        <f t="shared" si="1"/>
        <v/>
      </c>
      <c r="K20" s="12"/>
      <c r="L20" s="12"/>
      <c r="M20" s="12"/>
      <c r="N20" s="12"/>
      <c r="O20" s="12"/>
      <c r="P20" s="12"/>
    </row>
    <row r="21" spans="3:16" ht="16.8" customHeight="1" x14ac:dyDescent="0.3">
      <c r="C21" s="19"/>
      <c r="D21" s="20" t="str">
        <f>IFERROR(VLOOKUP(C21,Stock!$B$4:$C$13,2,0),"")</f>
        <v/>
      </c>
      <c r="E21" s="13" t="str">
        <f>IFERROR(VLOOKUP(C21,Stock!B12:$D$13,3,0),"")</f>
        <v/>
      </c>
      <c r="F21" s="14" t="str">
        <f>IFERROR(VLOOKUP(C21,Stock!B12:$E$13,4,0),"")</f>
        <v/>
      </c>
      <c r="G21" s="15" t="str">
        <f>IFERROR(VLOOKUP(C21,Stock!$B$4:$F$13,5,0),"")</f>
        <v/>
      </c>
      <c r="H21" s="13"/>
      <c r="I21" s="15" t="str">
        <f t="shared" si="0"/>
        <v/>
      </c>
      <c r="J21" s="21" t="str">
        <f t="shared" si="1"/>
        <v/>
      </c>
      <c r="K21" s="12"/>
      <c r="L21" s="12"/>
      <c r="M21" s="12"/>
      <c r="N21" s="12"/>
      <c r="O21" s="12"/>
      <c r="P21" s="12"/>
    </row>
    <row r="22" spans="3:16" ht="16.8" customHeight="1" x14ac:dyDescent="0.3">
      <c r="C22" s="19"/>
      <c r="D22" s="20" t="str">
        <f>IFERROR(VLOOKUP(C22,Stock!$B$4:$C$13,2,0),"")</f>
        <v/>
      </c>
      <c r="E22" s="13" t="str">
        <f>IFERROR(VLOOKUP(C22,Stock!B13:$D$13,3,0),"")</f>
        <v/>
      </c>
      <c r="F22" s="14" t="str">
        <f>IFERROR(VLOOKUP(C22,Stock!B13:$E$13,4,0),"")</f>
        <v/>
      </c>
      <c r="G22" s="15" t="str">
        <f>IFERROR(VLOOKUP(C22,Stock!$B$4:$F$13,5,0),"")</f>
        <v/>
      </c>
      <c r="H22" s="13"/>
      <c r="I22" s="15" t="str">
        <f t="shared" si="0"/>
        <v/>
      </c>
      <c r="J22" s="21" t="str">
        <f t="shared" si="1"/>
        <v/>
      </c>
      <c r="K22" s="12"/>
      <c r="L22" s="12"/>
      <c r="M22" s="12"/>
      <c r="N22" s="12"/>
      <c r="O22" s="12"/>
      <c r="P22" s="12"/>
    </row>
    <row r="23" spans="3:16" ht="16.8" customHeight="1" x14ac:dyDescent="0.3">
      <c r="C23" s="19"/>
      <c r="D23" s="20" t="str">
        <f>IFERROR(VLOOKUP(C23,Stock!$B$4:$C$13,2,0),"")</f>
        <v/>
      </c>
      <c r="E23" s="13" t="str">
        <f>IFERROR(VLOOKUP(C23,Stock!B$13:$D14,3,0),"")</f>
        <v/>
      </c>
      <c r="F23" s="14" t="str">
        <f>IFERROR(VLOOKUP(C23,Stock!B$13:$E14,4,0),"")</f>
        <v/>
      </c>
      <c r="G23" s="15" t="str">
        <f>IFERROR(VLOOKUP(C23,Stock!$B$4:$F$13,5,0),"")</f>
        <v/>
      </c>
      <c r="H23" s="13"/>
      <c r="I23" s="15" t="str">
        <f t="shared" si="0"/>
        <v/>
      </c>
      <c r="J23" s="21" t="str">
        <f t="shared" si="1"/>
        <v/>
      </c>
      <c r="K23" s="12"/>
      <c r="L23" s="12"/>
      <c r="M23" s="12"/>
      <c r="N23" s="12"/>
      <c r="O23" s="12"/>
      <c r="P23" s="12"/>
    </row>
    <row r="24" spans="3:16" ht="16.8" customHeight="1" x14ac:dyDescent="0.3">
      <c r="C24" s="19"/>
      <c r="D24" s="20" t="str">
        <f>IFERROR(VLOOKUP(C24,Stock!$B$4:$C$13,2,0),"")</f>
        <v/>
      </c>
      <c r="E24" s="13" t="str">
        <f>IFERROR(VLOOKUP(C24,Stock!B$13:$D15,3,0),"")</f>
        <v/>
      </c>
      <c r="F24" s="14" t="str">
        <f>IFERROR(VLOOKUP(C24,Stock!B$13:$E15,4,0),"")</f>
        <v/>
      </c>
      <c r="G24" s="15" t="str">
        <f>IFERROR(VLOOKUP(C24,Stock!$B$4:$F$13,5,0),"")</f>
        <v/>
      </c>
      <c r="H24" s="13"/>
      <c r="I24" s="15" t="str">
        <f t="shared" si="0"/>
        <v/>
      </c>
      <c r="J24" s="21" t="str">
        <f t="shared" si="1"/>
        <v/>
      </c>
      <c r="K24" s="12"/>
      <c r="L24" s="12"/>
      <c r="M24" s="12"/>
      <c r="N24" s="12"/>
      <c r="O24" s="12"/>
      <c r="P24" s="12"/>
    </row>
    <row r="25" spans="3:16" s="4" customFormat="1" ht="16.8" customHeight="1" x14ac:dyDescent="0.3">
      <c r="C25" s="22"/>
      <c r="D25" s="17"/>
      <c r="E25" s="17"/>
      <c r="F25" s="17"/>
      <c r="G25" s="17"/>
      <c r="H25" s="17"/>
      <c r="I25" s="55" t="s">
        <v>62</v>
      </c>
      <c r="J25" s="56">
        <f>SUM(I13:I24)</f>
        <v>0</v>
      </c>
      <c r="K25" s="12"/>
      <c r="L25" s="12"/>
      <c r="M25" s="12"/>
      <c r="N25" s="12"/>
      <c r="O25" s="12"/>
      <c r="P25" s="12"/>
    </row>
    <row r="26" spans="3:16" s="4" customFormat="1" ht="16.8" customHeight="1" x14ac:dyDescent="0.3">
      <c r="C26" s="22"/>
      <c r="D26" s="17"/>
      <c r="E26" s="17"/>
      <c r="F26" s="17"/>
      <c r="G26" s="17"/>
      <c r="H26" s="17"/>
      <c r="I26" s="46" t="s">
        <v>61</v>
      </c>
      <c r="J26" s="57"/>
      <c r="K26" s="12"/>
      <c r="L26" s="12"/>
      <c r="M26" s="12"/>
      <c r="N26" s="12"/>
      <c r="O26" s="12"/>
      <c r="P26" s="12"/>
    </row>
    <row r="27" spans="3:16" s="4" customFormat="1" ht="16.8" customHeight="1" x14ac:dyDescent="0.3">
      <c r="C27" s="22"/>
      <c r="D27" s="17"/>
      <c r="E27" s="17"/>
      <c r="F27" s="17"/>
      <c r="G27" s="17"/>
      <c r="H27" s="17"/>
      <c r="I27" s="46" t="s">
        <v>63</v>
      </c>
      <c r="J27" s="56">
        <f>J25-(J25*J26)</f>
        <v>0</v>
      </c>
      <c r="K27" s="12"/>
      <c r="L27" s="12"/>
      <c r="M27" s="12"/>
      <c r="N27" s="12"/>
      <c r="O27" s="12"/>
      <c r="P27" s="12"/>
    </row>
    <row r="28" spans="3:16" s="4" customFormat="1" ht="16.8" customHeight="1" x14ac:dyDescent="0.3">
      <c r="C28" s="22"/>
      <c r="D28" s="17"/>
      <c r="E28" s="17"/>
      <c r="F28" s="17"/>
      <c r="G28" s="17"/>
      <c r="H28" s="17"/>
      <c r="I28" s="46" t="str">
        <f>IF(H11="Inter-State","IGST","")</f>
        <v/>
      </c>
      <c r="J28" s="56" t="str">
        <f>IF(I28="","",(SUM(J13:J24)-SUM(I13:I24)))</f>
        <v/>
      </c>
      <c r="K28" s="12"/>
      <c r="L28" s="12"/>
      <c r="M28" s="12"/>
      <c r="N28" s="12"/>
      <c r="O28" s="12"/>
      <c r="P28" s="12"/>
    </row>
    <row r="29" spans="3:16" s="4" customFormat="1" ht="16.8" customHeight="1" x14ac:dyDescent="0.3">
      <c r="C29" s="74" t="s">
        <v>65</v>
      </c>
      <c r="D29" s="75"/>
      <c r="E29" s="75"/>
      <c r="F29" s="17"/>
      <c r="G29" s="17"/>
      <c r="H29" s="17"/>
      <c r="I29" s="46" t="str">
        <f>IF(H11="Same State","CGST","")</f>
        <v>CGST</v>
      </c>
      <c r="J29" s="56">
        <f>IF(I29="","",(SUM(J13:J24)-SUM(I13:I24))/2)</f>
        <v>0</v>
      </c>
      <c r="K29" s="12"/>
      <c r="L29" s="12"/>
      <c r="M29" s="12"/>
      <c r="N29" s="12"/>
      <c r="O29" s="12"/>
      <c r="P29" s="12"/>
    </row>
    <row r="30" spans="3:16" s="4" customFormat="1" ht="16.8" customHeight="1" x14ac:dyDescent="0.3">
      <c r="C30" s="76" t="s">
        <v>64</v>
      </c>
      <c r="D30" s="77"/>
      <c r="E30" s="17"/>
      <c r="F30" s="17"/>
      <c r="G30" s="17"/>
      <c r="H30" s="17"/>
      <c r="I30" s="46" t="str">
        <f>IF(H11 = "Same State","SGST","")</f>
        <v>SGST</v>
      </c>
      <c r="J30" s="56">
        <f>IF(I30="","",(SUM(J13:J24)-SUM(I13:I24))/2)</f>
        <v>0</v>
      </c>
      <c r="K30" s="12"/>
      <c r="L30" s="12"/>
      <c r="M30" s="12"/>
      <c r="N30" s="12"/>
      <c r="O30" s="12"/>
      <c r="P30" s="12"/>
    </row>
    <row r="31" spans="3:16" s="4" customFormat="1" ht="16.8" customHeight="1" x14ac:dyDescent="0.3">
      <c r="C31" s="22"/>
      <c r="D31" s="17"/>
      <c r="E31" s="17"/>
      <c r="F31" s="17"/>
      <c r="G31" s="17"/>
      <c r="H31" s="17"/>
      <c r="I31" s="59" t="s">
        <v>66</v>
      </c>
      <c r="J31" s="47"/>
      <c r="K31" s="12"/>
      <c r="L31" s="12"/>
      <c r="M31" s="12"/>
      <c r="N31" s="12"/>
      <c r="O31" s="12"/>
      <c r="P31" s="12"/>
    </row>
    <row r="32" spans="3:16" s="4" customFormat="1" ht="29.4" customHeight="1" x14ac:dyDescent="0.3">
      <c r="C32" s="22"/>
      <c r="D32" s="17"/>
      <c r="E32" s="17"/>
      <c r="F32" s="17"/>
      <c r="G32" s="17"/>
      <c r="H32" s="17"/>
      <c r="I32" s="48" t="s">
        <v>67</v>
      </c>
      <c r="J32" s="49">
        <f>SUM(J27:J31)</f>
        <v>0</v>
      </c>
      <c r="K32" s="12"/>
      <c r="L32" s="12"/>
      <c r="M32" s="12"/>
      <c r="N32" s="12"/>
      <c r="O32" s="12"/>
      <c r="P32" s="12"/>
    </row>
    <row r="33" spans="3:16" s="4" customFormat="1" ht="22.2" customHeight="1" thickBot="1" x14ac:dyDescent="0.35">
      <c r="C33" s="70" t="s">
        <v>144</v>
      </c>
      <c r="D33" s="71"/>
      <c r="E33" s="23"/>
      <c r="F33" s="23"/>
      <c r="G33" s="23"/>
      <c r="H33" s="23"/>
      <c r="I33" s="24"/>
      <c r="J33" s="25"/>
      <c r="K33" s="12"/>
      <c r="L33" s="12"/>
      <c r="M33" s="12"/>
      <c r="N33" s="12"/>
      <c r="O33" s="12"/>
      <c r="P33" s="12"/>
    </row>
    <row r="34" spans="3:16" ht="16.8" customHeight="1" x14ac:dyDescent="0.3">
      <c r="I34" s="7"/>
    </row>
    <row r="35" spans="3:16" ht="16.8" customHeight="1" x14ac:dyDescent="0.3">
      <c r="I35" s="7"/>
    </row>
    <row r="36" spans="3:16" ht="16.8" customHeight="1" x14ac:dyDescent="0.3">
      <c r="I36" s="7"/>
    </row>
    <row r="37" spans="3:16" ht="16.8" customHeight="1" x14ac:dyDescent="0.3"/>
    <row r="38" spans="3:16" ht="16.8" customHeight="1" x14ac:dyDescent="0.3"/>
    <row r="39" spans="3:16" ht="16.8" customHeight="1" x14ac:dyDescent="0.3"/>
    <row r="40" spans="3:16" ht="16.8" customHeight="1" x14ac:dyDescent="0.3"/>
    <row r="41" spans="3:16" ht="16.8" customHeight="1" x14ac:dyDescent="0.3"/>
    <row r="42" spans="3:16" ht="16.8" customHeight="1" x14ac:dyDescent="0.3"/>
    <row r="43" spans="3:16" ht="16.8" customHeight="1" x14ac:dyDescent="0.3"/>
    <row r="44" spans="3:16" ht="16.8" customHeight="1" x14ac:dyDescent="0.3"/>
    <row r="45" spans="3:16" ht="16.8" customHeight="1" x14ac:dyDescent="0.3"/>
    <row r="46" spans="3:16" ht="16.8" customHeight="1" x14ac:dyDescent="0.3"/>
    <row r="47" spans="3:16" ht="16.8" customHeight="1" x14ac:dyDescent="0.3"/>
    <row r="48" spans="3:16" ht="16.8" customHeight="1" x14ac:dyDescent="0.3"/>
    <row r="49" ht="16.8" customHeight="1" x14ac:dyDescent="0.3"/>
    <row r="50" ht="16.8" customHeight="1" x14ac:dyDescent="0.3"/>
    <row r="51" ht="16.8" customHeight="1" x14ac:dyDescent="0.3"/>
    <row r="52" ht="16.8" customHeight="1" x14ac:dyDescent="0.3"/>
    <row r="53" ht="16.8" customHeight="1" x14ac:dyDescent="0.3"/>
    <row r="54" ht="16.8" customHeight="1" x14ac:dyDescent="0.3"/>
    <row r="55" ht="16.8" customHeight="1" x14ac:dyDescent="0.3"/>
    <row r="56" ht="16.8" customHeight="1" x14ac:dyDescent="0.3"/>
    <row r="57" ht="16.8" customHeight="1" x14ac:dyDescent="0.3"/>
    <row r="58" ht="16.8" customHeight="1" x14ac:dyDescent="0.3"/>
    <row r="59" ht="16.8" customHeight="1" x14ac:dyDescent="0.3"/>
    <row r="60" ht="16.8" customHeight="1" x14ac:dyDescent="0.3"/>
    <row r="61" ht="16.8" customHeight="1" x14ac:dyDescent="0.3"/>
    <row r="62" ht="16.8" customHeight="1" x14ac:dyDescent="0.3"/>
    <row r="63" ht="16.8" customHeight="1" x14ac:dyDescent="0.3"/>
    <row r="64" ht="16.8" customHeight="1" x14ac:dyDescent="0.3"/>
    <row r="65" ht="16.8" customHeight="1" x14ac:dyDescent="0.3"/>
    <row r="66" ht="16.8" customHeight="1" x14ac:dyDescent="0.3"/>
    <row r="67" ht="16.8" customHeight="1" x14ac:dyDescent="0.3"/>
    <row r="68" ht="16.8" customHeight="1" x14ac:dyDescent="0.3"/>
    <row r="69" ht="16.8" customHeight="1" x14ac:dyDescent="0.3"/>
    <row r="70" ht="16.8" customHeight="1" x14ac:dyDescent="0.3"/>
    <row r="71" ht="16.8" customHeight="1" x14ac:dyDescent="0.3"/>
    <row r="72" ht="16.8" customHeight="1" x14ac:dyDescent="0.3"/>
    <row r="73" ht="16.8" customHeight="1" x14ac:dyDescent="0.3"/>
    <row r="74" ht="16.8" customHeight="1" x14ac:dyDescent="0.3"/>
    <row r="75" ht="16.8" customHeight="1" x14ac:dyDescent="0.3"/>
    <row r="76" ht="16.8" customHeight="1" x14ac:dyDescent="0.3"/>
    <row r="77" ht="16.8" customHeight="1" x14ac:dyDescent="0.3"/>
    <row r="78" ht="16.8" customHeight="1" x14ac:dyDescent="0.3"/>
    <row r="79" ht="16.8" customHeight="1" x14ac:dyDescent="0.3"/>
    <row r="80" ht="16.8" customHeight="1" x14ac:dyDescent="0.3"/>
    <row r="81" ht="16.8" customHeight="1" x14ac:dyDescent="0.3"/>
    <row r="82" ht="16.8" customHeight="1" x14ac:dyDescent="0.3"/>
    <row r="83" ht="16.8" customHeight="1" x14ac:dyDescent="0.3"/>
    <row r="84" ht="16.8" customHeight="1" x14ac:dyDescent="0.3"/>
    <row r="85" ht="16.8" customHeight="1" x14ac:dyDescent="0.3"/>
    <row r="86" ht="16.8" customHeight="1" x14ac:dyDescent="0.3"/>
    <row r="87" ht="16.8" customHeight="1" x14ac:dyDescent="0.3"/>
    <row r="88" ht="16.8" customHeight="1" x14ac:dyDescent="0.3"/>
    <row r="89" ht="16.8" customHeight="1" x14ac:dyDescent="0.3"/>
    <row r="90" ht="16.8" customHeight="1" x14ac:dyDescent="0.3"/>
    <row r="91" ht="16.8" customHeight="1" x14ac:dyDescent="0.3"/>
    <row r="92" ht="16.8" customHeight="1" x14ac:dyDescent="0.3"/>
    <row r="93" ht="16.8" customHeight="1" x14ac:dyDescent="0.3"/>
    <row r="94" ht="16.8" customHeight="1" x14ac:dyDescent="0.3"/>
    <row r="95" ht="16.8" customHeight="1" x14ac:dyDescent="0.3"/>
    <row r="96" ht="16.8" customHeight="1" x14ac:dyDescent="0.3"/>
    <row r="97" ht="16.8" customHeight="1" x14ac:dyDescent="0.3"/>
    <row r="98" ht="16.8" customHeight="1" x14ac:dyDescent="0.3"/>
    <row r="99" ht="16.8" customHeight="1" x14ac:dyDescent="0.3"/>
    <row r="100" ht="16.8" customHeight="1" x14ac:dyDescent="0.3"/>
    <row r="101" ht="16.8" customHeight="1" x14ac:dyDescent="0.3"/>
    <row r="102" ht="16.8" customHeight="1" x14ac:dyDescent="0.3"/>
    <row r="103" ht="16.8" customHeight="1" x14ac:dyDescent="0.3"/>
    <row r="104" ht="16.8" customHeight="1" x14ac:dyDescent="0.3"/>
    <row r="105" ht="16.8" customHeight="1" x14ac:dyDescent="0.3"/>
    <row r="106" ht="16.8" customHeight="1" x14ac:dyDescent="0.3"/>
    <row r="107" ht="16.8" customHeight="1" x14ac:dyDescent="0.3"/>
    <row r="108" ht="16.8" customHeight="1" x14ac:dyDescent="0.3"/>
    <row r="109" ht="16.8" customHeight="1" x14ac:dyDescent="0.3"/>
    <row r="110" ht="16.8" customHeight="1" x14ac:dyDescent="0.3"/>
    <row r="111" ht="16.8" customHeight="1" x14ac:dyDescent="0.3"/>
    <row r="112" ht="16.8" customHeight="1" x14ac:dyDescent="0.3"/>
    <row r="113" ht="16.8" customHeight="1" x14ac:dyDescent="0.3"/>
    <row r="114" ht="16.8" customHeight="1" x14ac:dyDescent="0.3"/>
    <row r="115" ht="16.8" customHeight="1" x14ac:dyDescent="0.3"/>
    <row r="116" ht="16.8" customHeight="1" x14ac:dyDescent="0.3"/>
    <row r="117" ht="16.8" customHeight="1" x14ac:dyDescent="0.3"/>
    <row r="118" ht="16.8" customHeight="1" x14ac:dyDescent="0.3"/>
    <row r="119" ht="16.8" customHeight="1" x14ac:dyDescent="0.3"/>
    <row r="120" ht="16.8" customHeight="1" x14ac:dyDescent="0.3"/>
    <row r="121" ht="16.8" customHeight="1" x14ac:dyDescent="0.3"/>
    <row r="122" ht="16.8" customHeight="1" x14ac:dyDescent="0.3"/>
    <row r="123" ht="16.8" customHeight="1" x14ac:dyDescent="0.3"/>
    <row r="124" ht="16.8" customHeight="1" x14ac:dyDescent="0.3"/>
  </sheetData>
  <mergeCells count="8">
    <mergeCell ref="F2:J3"/>
    <mergeCell ref="C7:J7"/>
    <mergeCell ref="C6:E6"/>
    <mergeCell ref="C33:D33"/>
    <mergeCell ref="D11:E11"/>
    <mergeCell ref="H9:I9"/>
    <mergeCell ref="C29:E29"/>
    <mergeCell ref="C30:D30"/>
  </mergeCells>
  <dataValidations count="1">
    <dataValidation type="list" allowBlank="1" showInputMessage="1" showErrorMessage="1" sqref="H11:I11">
      <formula1>"Same State, Inter-State"</formula1>
    </dataValidation>
  </dataValidations>
  <pageMargins left="0.7" right="0.7" top="0.75" bottom="0.75" header="0.3" footer="0.3"/>
  <pageSetup paperSize="9" scale="86" fitToHeight="0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'Customer database'!$A$2:$A$40</xm:f>
          </x14:formula1>
          <xm:sqref>F8</xm:sqref>
        </x14:dataValidation>
        <x14:dataValidation type="list" allowBlank="1" showInputMessage="1" showErrorMessage="1">
          <x14:formula1>
            <xm:f>'Customer database'!$A$2:$A$20</xm:f>
          </x14:formula1>
          <xm:sqref>E8</xm:sqref>
        </x14:dataValidation>
        <x14:dataValidation type="list" errorStyle="warning" allowBlank="1" showInputMessage="1" showErrorMessage="1" errorTitle="Customer Not in Database" error="If New Customer, Please add in the database">
          <x14:formula1>
            <xm:f>'Customer database'!$A$2:$A$20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zoomScaleNormal="100" workbookViewId="0"/>
  </sheetViews>
  <sheetFormatPr defaultRowHeight="14.4" x14ac:dyDescent="0.3"/>
  <cols>
    <col min="1" max="1" width="11.21875" style="1" customWidth="1"/>
    <col min="2" max="2" width="10.5546875" style="1" customWidth="1"/>
    <col min="3" max="3" width="14.109375" style="1" customWidth="1"/>
    <col min="4" max="4" width="10.5546875" style="1" customWidth="1"/>
    <col min="5" max="5" width="9.88671875" style="1" customWidth="1"/>
    <col min="6" max="6" width="10" style="1" customWidth="1"/>
    <col min="7" max="7" width="5.5546875" style="1" customWidth="1"/>
    <col min="8" max="8" width="8.88671875" style="1"/>
    <col min="9" max="9" width="10.5546875" style="1" customWidth="1"/>
    <col min="10" max="10" width="14.109375" style="1" customWidth="1"/>
    <col min="11" max="11" width="5.5546875" style="1" customWidth="1"/>
    <col min="12" max="12" width="12.109375" style="1" customWidth="1"/>
    <col min="13" max="13" width="8.88671875" style="1"/>
    <col min="14" max="14" width="14.88671875" style="1" customWidth="1"/>
    <col min="15" max="15" width="11.77734375" style="1" customWidth="1"/>
    <col min="16" max="16384" width="8.88671875" style="1"/>
  </cols>
  <sheetData>
    <row r="1" spans="1:15" ht="55.2" customHeight="1" x14ac:dyDescent="0.3"/>
    <row r="2" spans="1:15" x14ac:dyDescent="0.3">
      <c r="A2" s="60" t="s">
        <v>7</v>
      </c>
      <c r="B2" s="60"/>
      <c r="C2" s="60"/>
      <c r="D2" s="60"/>
      <c r="E2" s="60"/>
      <c r="F2" s="60"/>
      <c r="G2" s="60"/>
      <c r="H2" s="54"/>
      <c r="I2" s="60" t="s">
        <v>9</v>
      </c>
      <c r="J2" s="60"/>
      <c r="K2" s="60"/>
      <c r="L2" s="60"/>
      <c r="M2" s="54"/>
      <c r="N2" s="60" t="s">
        <v>12</v>
      </c>
      <c r="O2" s="60"/>
    </row>
    <row r="3" spans="1:15" x14ac:dyDescent="0.3">
      <c r="A3" s="58" t="s">
        <v>0</v>
      </c>
      <c r="B3" s="58" t="s">
        <v>1</v>
      </c>
      <c r="C3" s="58" t="s">
        <v>2</v>
      </c>
      <c r="D3" s="58" t="s">
        <v>3</v>
      </c>
      <c r="E3" s="58" t="s">
        <v>4</v>
      </c>
      <c r="F3" s="58" t="s">
        <v>5</v>
      </c>
      <c r="G3" s="58" t="s">
        <v>6</v>
      </c>
      <c r="H3" s="54"/>
      <c r="I3" s="58" t="s">
        <v>1</v>
      </c>
      <c r="J3" s="58" t="s">
        <v>2</v>
      </c>
      <c r="K3" s="58" t="s">
        <v>6</v>
      </c>
      <c r="L3" s="58" t="s">
        <v>8</v>
      </c>
      <c r="M3" s="54"/>
      <c r="N3" s="58" t="s">
        <v>10</v>
      </c>
      <c r="O3" s="58" t="s">
        <v>11</v>
      </c>
    </row>
    <row r="4" spans="1:15" x14ac:dyDescent="0.3">
      <c r="A4" s="50">
        <v>44652</v>
      </c>
      <c r="B4" s="51" t="s">
        <v>13</v>
      </c>
      <c r="C4" s="51" t="s">
        <v>23</v>
      </c>
      <c r="D4" s="51">
        <v>9037</v>
      </c>
      <c r="E4" s="52">
        <v>0.12</v>
      </c>
      <c r="F4" s="53">
        <v>95</v>
      </c>
      <c r="G4" s="51">
        <v>100</v>
      </c>
      <c r="H4" s="54"/>
      <c r="I4" s="51" t="s">
        <v>13</v>
      </c>
      <c r="J4" s="51" t="s">
        <v>23</v>
      </c>
      <c r="K4" s="51">
        <f>SUMIF($B$4:$B$13,I4,$G$4:$G$13)-SUMIF(Billing!$C$13:$C$24,Stock!$I$4:$I$13,Billing!$H$13:$H$24)</f>
        <v>100</v>
      </c>
      <c r="L4" s="2" t="str">
        <f>IF(K4=0,"Out of Stock","Available")</f>
        <v>Available</v>
      </c>
      <c r="N4" s="51">
        <v>10</v>
      </c>
      <c r="O4" s="2" t="str">
        <f>IF(K4&lt;N4,"Yes","No")</f>
        <v>No</v>
      </c>
    </row>
    <row r="5" spans="1:15" x14ac:dyDescent="0.3">
      <c r="A5" s="50">
        <v>44653</v>
      </c>
      <c r="B5" s="51" t="s">
        <v>14</v>
      </c>
      <c r="C5" s="51" t="s">
        <v>24</v>
      </c>
      <c r="D5" s="51">
        <v>9063</v>
      </c>
      <c r="E5" s="52">
        <v>0.05</v>
      </c>
      <c r="F5" s="53">
        <v>42</v>
      </c>
      <c r="G5" s="51">
        <v>100</v>
      </c>
      <c r="H5" s="54"/>
      <c r="I5" s="51" t="s">
        <v>14</v>
      </c>
      <c r="J5" s="51" t="s">
        <v>24</v>
      </c>
      <c r="K5" s="51">
        <f>SUMIF($B$4:$B$13,I5,$G$4:$G$13)-SUMIF(Billing!$C$13:$C$24,Stock!$I$4:$I$13,Billing!$H$13:$H$24)</f>
        <v>100</v>
      </c>
      <c r="L5" s="2" t="str">
        <f t="shared" ref="L5:L13" si="0">IF(K5=0,"Out of Stock","Available")</f>
        <v>Available</v>
      </c>
      <c r="N5" s="51">
        <v>20</v>
      </c>
      <c r="O5" s="2" t="str">
        <f t="shared" ref="O5:O13" si="1">IF(K5&lt;N5,"Yes","No")</f>
        <v>No</v>
      </c>
    </row>
    <row r="6" spans="1:15" x14ac:dyDescent="0.3">
      <c r="A6" s="50">
        <v>44654</v>
      </c>
      <c r="B6" s="51" t="s">
        <v>15</v>
      </c>
      <c r="C6" s="51" t="s">
        <v>25</v>
      </c>
      <c r="D6" s="51">
        <v>9052</v>
      </c>
      <c r="E6" s="52">
        <v>0.28000000000000003</v>
      </c>
      <c r="F6" s="53">
        <v>100</v>
      </c>
      <c r="G6" s="51">
        <v>100</v>
      </c>
      <c r="H6" s="54"/>
      <c r="I6" s="51" t="s">
        <v>15</v>
      </c>
      <c r="J6" s="51" t="s">
        <v>25</v>
      </c>
      <c r="K6" s="51">
        <f>SUMIF($B$4:$B$13,I6,$G$4:$G$13)-SUMIF(Billing!$C$13:$C$24,Stock!$I$4:$I$13,Billing!$H$13:$H$24)</f>
        <v>100</v>
      </c>
      <c r="L6" s="2" t="str">
        <f t="shared" si="0"/>
        <v>Available</v>
      </c>
      <c r="N6" s="51">
        <v>10</v>
      </c>
      <c r="O6" s="2" t="str">
        <f t="shared" si="1"/>
        <v>No</v>
      </c>
    </row>
    <row r="7" spans="1:15" x14ac:dyDescent="0.3">
      <c r="A7" s="50">
        <v>44655</v>
      </c>
      <c r="B7" s="51" t="s">
        <v>16</v>
      </c>
      <c r="C7" s="51" t="s">
        <v>26</v>
      </c>
      <c r="D7" s="51">
        <v>9035</v>
      </c>
      <c r="E7" s="52">
        <v>0.18</v>
      </c>
      <c r="F7" s="53">
        <v>105</v>
      </c>
      <c r="G7" s="51">
        <v>100</v>
      </c>
      <c r="H7" s="54"/>
      <c r="I7" s="51" t="s">
        <v>16</v>
      </c>
      <c r="J7" s="51" t="s">
        <v>26</v>
      </c>
      <c r="K7" s="51">
        <f>SUMIF($B$4:$B$13,I7,$G$4:$G$13)-SUMIF(Billing!$C$13:$C$24,Stock!$I$4:$I$13,Billing!$H$13:$H$24)</f>
        <v>100</v>
      </c>
      <c r="L7" s="2" t="str">
        <f t="shared" si="0"/>
        <v>Available</v>
      </c>
      <c r="N7" s="51">
        <v>15</v>
      </c>
      <c r="O7" s="2" t="str">
        <f t="shared" si="1"/>
        <v>No</v>
      </c>
    </row>
    <row r="8" spans="1:15" x14ac:dyDescent="0.3">
      <c r="A8" s="50">
        <v>44656</v>
      </c>
      <c r="B8" s="51" t="s">
        <v>17</v>
      </c>
      <c r="C8" s="51" t="s">
        <v>27</v>
      </c>
      <c r="D8" s="51"/>
      <c r="E8" s="52">
        <v>0.12</v>
      </c>
      <c r="F8" s="53">
        <v>40</v>
      </c>
      <c r="G8" s="51">
        <v>100</v>
      </c>
      <c r="H8" s="54"/>
      <c r="I8" s="51" t="s">
        <v>17</v>
      </c>
      <c r="J8" s="51" t="s">
        <v>27</v>
      </c>
      <c r="K8" s="51">
        <f>SUMIF($B$4:$B$13,I8,$G$4:$G$13)-SUMIF(Billing!$C$13:$C$24,Stock!$I$4:$I$13,Billing!$H$13:$H$24)</f>
        <v>100</v>
      </c>
      <c r="L8" s="2" t="str">
        <f t="shared" si="0"/>
        <v>Available</v>
      </c>
      <c r="N8" s="51">
        <v>40</v>
      </c>
      <c r="O8" s="2" t="str">
        <f t="shared" si="1"/>
        <v>No</v>
      </c>
    </row>
    <row r="9" spans="1:15" x14ac:dyDescent="0.3">
      <c r="A9" s="50">
        <v>44657</v>
      </c>
      <c r="B9" s="51" t="s">
        <v>18</v>
      </c>
      <c r="C9" s="51" t="s">
        <v>28</v>
      </c>
      <c r="D9" s="51">
        <v>9078</v>
      </c>
      <c r="E9" s="52">
        <v>0.12</v>
      </c>
      <c r="F9" s="53">
        <v>220</v>
      </c>
      <c r="G9" s="51">
        <v>100</v>
      </c>
      <c r="H9" s="54"/>
      <c r="I9" s="51" t="s">
        <v>18</v>
      </c>
      <c r="J9" s="51" t="s">
        <v>28</v>
      </c>
      <c r="K9" s="51">
        <f>SUMIF($B$4:$B$13,I9,$G$4:$G$13)-SUMIF(Billing!$C$13:$C$24,Stock!$I$4:$I$13,Billing!$H$13:$H$24)</f>
        <v>100</v>
      </c>
      <c r="L9" s="2" t="str">
        <f t="shared" si="0"/>
        <v>Available</v>
      </c>
      <c r="N9" s="51">
        <v>19</v>
      </c>
      <c r="O9" s="2" t="str">
        <f t="shared" si="1"/>
        <v>No</v>
      </c>
    </row>
    <row r="10" spans="1:15" x14ac:dyDescent="0.3">
      <c r="A10" s="50">
        <v>44658</v>
      </c>
      <c r="B10" s="51" t="s">
        <v>19</v>
      </c>
      <c r="C10" s="51" t="s">
        <v>29</v>
      </c>
      <c r="D10" s="51">
        <v>9087</v>
      </c>
      <c r="E10" s="52">
        <v>0.05</v>
      </c>
      <c r="F10" s="53">
        <v>300</v>
      </c>
      <c r="G10" s="51">
        <v>100</v>
      </c>
      <c r="H10" s="54"/>
      <c r="I10" s="51" t="s">
        <v>19</v>
      </c>
      <c r="J10" s="51" t="s">
        <v>29</v>
      </c>
      <c r="K10" s="51">
        <f>SUMIF($B$4:$B$13,I10,$G$4:$G$13)-SUMIF(Billing!$C$13:$C$24,Stock!$I$4:$I$13,Billing!$H$13:$H$24)</f>
        <v>100</v>
      </c>
      <c r="L10" s="2" t="str">
        <f t="shared" si="0"/>
        <v>Available</v>
      </c>
      <c r="N10" s="51">
        <v>9</v>
      </c>
      <c r="O10" s="2" t="str">
        <f t="shared" si="1"/>
        <v>No</v>
      </c>
    </row>
    <row r="11" spans="1:15" x14ac:dyDescent="0.3">
      <c r="A11" s="50">
        <v>44659</v>
      </c>
      <c r="B11" s="51" t="s">
        <v>20</v>
      </c>
      <c r="C11" s="51" t="s">
        <v>30</v>
      </c>
      <c r="D11" s="51">
        <v>9045</v>
      </c>
      <c r="E11" s="52">
        <v>0</v>
      </c>
      <c r="F11" s="53">
        <v>65</v>
      </c>
      <c r="G11" s="51">
        <v>100</v>
      </c>
      <c r="H11" s="54"/>
      <c r="I11" s="51" t="s">
        <v>20</v>
      </c>
      <c r="J11" s="51" t="s">
        <v>30</v>
      </c>
      <c r="K11" s="51">
        <f>SUMIF($B$4:$B$13,I11,$G$4:$G$13)-SUMIF(Billing!$C$13:$C$24,Stock!$I$4:$I$13,Billing!$H$13:$H$24)</f>
        <v>100</v>
      </c>
      <c r="L11" s="2" t="str">
        <f t="shared" si="0"/>
        <v>Available</v>
      </c>
      <c r="N11" s="51">
        <v>20</v>
      </c>
      <c r="O11" s="2" t="str">
        <f t="shared" si="1"/>
        <v>No</v>
      </c>
    </row>
    <row r="12" spans="1:15" x14ac:dyDescent="0.3">
      <c r="A12" s="50">
        <v>44660</v>
      </c>
      <c r="B12" s="51" t="s">
        <v>21</v>
      </c>
      <c r="C12" s="51" t="s">
        <v>31</v>
      </c>
      <c r="D12" s="51">
        <v>9123</v>
      </c>
      <c r="E12" s="52">
        <v>0.28000000000000003</v>
      </c>
      <c r="F12" s="53">
        <v>90</v>
      </c>
      <c r="G12" s="51">
        <v>100</v>
      </c>
      <c r="H12" s="54"/>
      <c r="I12" s="51" t="s">
        <v>21</v>
      </c>
      <c r="J12" s="51" t="s">
        <v>31</v>
      </c>
      <c r="K12" s="51">
        <f>SUMIF($B$4:$B$13,I12,$G$4:$G$13)-SUMIF(Billing!$C$13:$C$24,Stock!$I$4:$I$13,Billing!$H$13:$H$24)</f>
        <v>100</v>
      </c>
      <c r="L12" s="2" t="str">
        <f t="shared" si="0"/>
        <v>Available</v>
      </c>
      <c r="N12" s="51">
        <v>5</v>
      </c>
      <c r="O12" s="2" t="str">
        <f t="shared" si="1"/>
        <v>No</v>
      </c>
    </row>
    <row r="13" spans="1:15" x14ac:dyDescent="0.3">
      <c r="A13" s="50">
        <v>44661</v>
      </c>
      <c r="B13" s="51" t="s">
        <v>22</v>
      </c>
      <c r="C13" s="51" t="s">
        <v>146</v>
      </c>
      <c r="D13" s="51">
        <v>9653</v>
      </c>
      <c r="E13" s="52">
        <v>0.12</v>
      </c>
      <c r="F13" s="53">
        <v>40</v>
      </c>
      <c r="G13" s="51">
        <v>100</v>
      </c>
      <c r="H13" s="54"/>
      <c r="I13" s="51" t="s">
        <v>22</v>
      </c>
      <c r="J13" s="51" t="s">
        <v>32</v>
      </c>
      <c r="K13" s="51">
        <f>SUMIF($B$4:$B$13,I13,$G$4:$G$13)-SUMIF(Billing!$C$13:$C$24,Stock!$I$4:$I$13,Billing!$H$13:$H$24)</f>
        <v>100</v>
      </c>
      <c r="L13" s="2" t="str">
        <f t="shared" si="0"/>
        <v>Available</v>
      </c>
      <c r="N13" s="51">
        <v>25</v>
      </c>
      <c r="O13" s="2" t="str">
        <f t="shared" si="1"/>
        <v>No</v>
      </c>
    </row>
  </sheetData>
  <mergeCells count="3">
    <mergeCell ref="A2:G2"/>
    <mergeCell ref="I2:L2"/>
    <mergeCell ref="N2:O2"/>
  </mergeCells>
  <conditionalFormatting sqref="L4:L13">
    <cfRule type="containsText" dxfId="3" priority="3" operator="containsText" text="Available">
      <formula>NOT(ISERROR(SEARCH("Available",L4)))</formula>
    </cfRule>
    <cfRule type="containsText" dxfId="2" priority="4" operator="containsText" text="Out of Stock">
      <formula>NOT(ISERROR(SEARCH("Out of Stock",L4)))</formula>
    </cfRule>
  </conditionalFormatting>
  <conditionalFormatting sqref="O4:O13">
    <cfRule type="containsText" dxfId="1" priority="1" operator="containsText" text="No">
      <formula>NOT(ISERROR(SEARCH("No",O4)))</formula>
    </cfRule>
    <cfRule type="containsText" dxfId="0" priority="2" operator="containsText" text="Yes">
      <formula>NOT(ISERROR(SEARCH("Yes",O4)))</formula>
    </cfRule>
  </conditionalFormatting>
  <pageMargins left="0.7" right="0.7" top="0.75" bottom="0.75" header="0.3" footer="0.3"/>
  <pageSetup paperSize="9" orientation="portrait" horizontalDpi="1200" verticalDpi="1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23"/>
  <sheetViews>
    <sheetView workbookViewId="0"/>
  </sheetViews>
  <sheetFormatPr defaultRowHeight="14.4" x14ac:dyDescent="0.3"/>
  <cols>
    <col min="1" max="1" width="10.5546875" style="1" customWidth="1"/>
    <col min="2" max="2" width="12" style="1" customWidth="1"/>
    <col min="3" max="3" width="20.109375" style="1" customWidth="1"/>
    <col min="4" max="4" width="14" style="1" customWidth="1"/>
    <col min="5" max="9" width="12" style="1" customWidth="1"/>
    <col min="10" max="16384" width="8.88671875" style="1"/>
  </cols>
  <sheetData>
    <row r="1" spans="1:9" ht="53.4" customHeight="1" x14ac:dyDescent="0.3"/>
    <row r="2" spans="1:9" ht="43.2" customHeight="1" x14ac:dyDescent="0.3">
      <c r="A2" s="78" t="s">
        <v>135</v>
      </c>
      <c r="B2" s="78"/>
      <c r="C2" s="78"/>
      <c r="D2" s="8" t="s">
        <v>136</v>
      </c>
      <c r="E2" s="8">
        <f>SUBTOTAL(2,I4:I100)</f>
        <v>0</v>
      </c>
      <c r="F2" s="79" t="s">
        <v>134</v>
      </c>
      <c r="G2" s="79"/>
      <c r="H2" s="79">
        <f>SUBTOTAL(9,I4:I100)</f>
        <v>0</v>
      </c>
      <c r="I2" s="79"/>
    </row>
    <row r="3" spans="1:9" x14ac:dyDescent="0.3">
      <c r="A3" s="5" t="s">
        <v>0</v>
      </c>
      <c r="B3" s="5" t="s">
        <v>122</v>
      </c>
      <c r="C3" s="5" t="s">
        <v>44</v>
      </c>
      <c r="D3" s="5" t="s">
        <v>123</v>
      </c>
      <c r="E3" s="5" t="s">
        <v>40</v>
      </c>
      <c r="F3" s="5" t="s">
        <v>41</v>
      </c>
      <c r="G3" s="5" t="s">
        <v>43</v>
      </c>
      <c r="H3" s="5" t="s">
        <v>42</v>
      </c>
      <c r="I3" s="5" t="s">
        <v>124</v>
      </c>
    </row>
    <row r="4" spans="1:9" x14ac:dyDescent="0.3">
      <c r="A4" s="9"/>
      <c r="B4" s="10"/>
      <c r="C4" s="10"/>
      <c r="D4" s="10"/>
      <c r="E4" s="10"/>
      <c r="F4" s="10"/>
      <c r="G4" s="10"/>
      <c r="H4" s="10"/>
      <c r="I4" s="10"/>
    </row>
    <row r="5" spans="1:9" x14ac:dyDescent="0.3">
      <c r="A5" s="9"/>
      <c r="B5" s="10"/>
      <c r="C5" s="10"/>
      <c r="D5" s="10"/>
      <c r="E5" s="10"/>
      <c r="F5" s="10"/>
      <c r="G5" s="10"/>
      <c r="H5" s="10"/>
      <c r="I5" s="10"/>
    </row>
    <row r="6" spans="1:9" x14ac:dyDescent="0.3">
      <c r="A6" s="9"/>
      <c r="B6" s="10"/>
      <c r="C6" s="10"/>
      <c r="D6" s="10"/>
      <c r="E6" s="10"/>
      <c r="F6" s="10"/>
      <c r="G6" s="10"/>
      <c r="H6" s="10"/>
      <c r="I6" s="10"/>
    </row>
    <row r="7" spans="1:9" x14ac:dyDescent="0.3">
      <c r="A7" s="9"/>
      <c r="B7" s="10"/>
      <c r="C7" s="10"/>
      <c r="D7" s="10"/>
      <c r="E7" s="10"/>
      <c r="F7" s="10"/>
      <c r="G7" s="10"/>
      <c r="H7" s="10"/>
      <c r="I7" s="10"/>
    </row>
    <row r="8" spans="1:9" x14ac:dyDescent="0.3">
      <c r="A8" s="10"/>
      <c r="B8" s="10"/>
      <c r="C8" s="10"/>
      <c r="D8" s="10"/>
      <c r="E8" s="10"/>
      <c r="F8" s="10"/>
      <c r="G8" s="10"/>
      <c r="H8" s="10"/>
      <c r="I8" s="10"/>
    </row>
    <row r="9" spans="1:9" x14ac:dyDescent="0.3">
      <c r="A9" s="10"/>
      <c r="B9" s="10"/>
      <c r="C9" s="10"/>
      <c r="D9" s="10"/>
      <c r="E9" s="10"/>
      <c r="F9" s="10"/>
      <c r="G9" s="10"/>
      <c r="H9" s="10"/>
      <c r="I9" s="10"/>
    </row>
    <row r="10" spans="1:9" x14ac:dyDescent="0.3">
      <c r="A10" s="10"/>
      <c r="B10" s="10"/>
      <c r="C10" s="10"/>
      <c r="D10" s="10"/>
      <c r="E10" s="10"/>
      <c r="F10" s="10"/>
      <c r="G10" s="10"/>
      <c r="H10" s="10"/>
      <c r="I10" s="10"/>
    </row>
    <row r="11" spans="1:9" x14ac:dyDescent="0.3">
      <c r="A11" s="10"/>
      <c r="B11" s="10"/>
      <c r="C11" s="10"/>
      <c r="D11" s="10"/>
      <c r="E11" s="10"/>
      <c r="F11" s="10"/>
      <c r="G11" s="10"/>
      <c r="H11" s="10"/>
      <c r="I11" s="10"/>
    </row>
    <row r="12" spans="1:9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x14ac:dyDescent="0.3">
      <c r="A13" s="10"/>
      <c r="B13" s="10"/>
      <c r="C13" s="10"/>
      <c r="D13" s="10"/>
      <c r="E13" s="10"/>
      <c r="F13" s="10"/>
      <c r="G13" s="10"/>
      <c r="H13" s="10"/>
      <c r="I13" s="10"/>
    </row>
    <row r="14" spans="1:9" x14ac:dyDescent="0.3">
      <c r="A14" s="10"/>
      <c r="B14" s="10"/>
      <c r="C14" s="10"/>
      <c r="D14" s="10"/>
      <c r="E14" s="10"/>
      <c r="F14" s="10"/>
      <c r="G14" s="10"/>
      <c r="H14" s="10"/>
      <c r="I14" s="10"/>
    </row>
    <row r="15" spans="1:9" x14ac:dyDescent="0.3">
      <c r="A15" s="10"/>
      <c r="B15" s="10"/>
      <c r="C15" s="10"/>
      <c r="D15" s="10"/>
      <c r="E15" s="10"/>
      <c r="F15" s="10"/>
      <c r="G15" s="10"/>
      <c r="H15" s="10"/>
      <c r="I15" s="10"/>
    </row>
    <row r="16" spans="1:9" x14ac:dyDescent="0.3">
      <c r="A16" s="10"/>
      <c r="B16" s="10"/>
      <c r="C16" s="10"/>
      <c r="D16" s="10"/>
      <c r="E16" s="10"/>
      <c r="F16" s="10"/>
      <c r="G16" s="10"/>
      <c r="H16" s="10"/>
      <c r="I16" s="10"/>
    </row>
    <row r="17" spans="1:9" x14ac:dyDescent="0.3">
      <c r="A17" s="11"/>
      <c r="B17" s="11"/>
      <c r="C17" s="11"/>
      <c r="D17" s="11"/>
      <c r="E17" s="11"/>
      <c r="F17" s="11"/>
      <c r="G17" s="11"/>
      <c r="H17" s="11"/>
      <c r="I17" s="11"/>
    </row>
    <row r="18" spans="1:9" x14ac:dyDescent="0.3">
      <c r="A18" s="11"/>
      <c r="B18" s="11"/>
      <c r="C18" s="11"/>
      <c r="D18" s="11"/>
      <c r="E18" s="11"/>
      <c r="F18" s="11"/>
      <c r="G18" s="11"/>
      <c r="H18" s="11"/>
      <c r="I18" s="11"/>
    </row>
    <row r="19" spans="1:9" x14ac:dyDescent="0.3">
      <c r="A19" s="11"/>
      <c r="B19" s="11"/>
      <c r="C19" s="11"/>
      <c r="D19" s="11"/>
      <c r="E19" s="11"/>
      <c r="F19" s="11"/>
      <c r="G19" s="11"/>
      <c r="H19" s="11"/>
      <c r="I19" s="11"/>
    </row>
    <row r="20" spans="1:9" x14ac:dyDescent="0.3">
      <c r="A20" s="11"/>
      <c r="B20" s="11"/>
      <c r="C20" s="11"/>
      <c r="D20" s="11"/>
      <c r="E20" s="11"/>
      <c r="F20" s="11"/>
      <c r="G20" s="11"/>
      <c r="H20" s="11"/>
      <c r="I20" s="11"/>
    </row>
    <row r="21" spans="1:9" x14ac:dyDescent="0.3">
      <c r="A21" s="11"/>
      <c r="B21" s="11"/>
      <c r="C21" s="11"/>
      <c r="D21" s="11"/>
      <c r="E21" s="11"/>
      <c r="F21" s="11"/>
      <c r="G21" s="11"/>
      <c r="H21" s="11"/>
      <c r="I21" s="11"/>
    </row>
    <row r="22" spans="1:9" x14ac:dyDescent="0.3">
      <c r="A22" s="11"/>
      <c r="B22" s="11"/>
      <c r="C22" s="11"/>
      <c r="D22" s="11"/>
      <c r="E22" s="11"/>
      <c r="F22" s="11"/>
      <c r="G22" s="11"/>
      <c r="H22" s="11"/>
      <c r="I22" s="11"/>
    </row>
    <row r="23" spans="1:9" x14ac:dyDescent="0.3">
      <c r="A23" s="11"/>
      <c r="B23" s="11"/>
      <c r="C23" s="11"/>
      <c r="D23" s="11"/>
      <c r="E23" s="11"/>
      <c r="F23" s="11"/>
      <c r="G23" s="11"/>
      <c r="H23" s="11"/>
      <c r="I23" s="11"/>
    </row>
    <row r="24" spans="1:9" x14ac:dyDescent="0.3">
      <c r="A24" s="11"/>
      <c r="B24" s="11"/>
      <c r="C24" s="11"/>
      <c r="D24" s="11"/>
      <c r="E24" s="11"/>
      <c r="F24" s="11"/>
      <c r="G24" s="11"/>
      <c r="H24" s="11"/>
      <c r="I24" s="11"/>
    </row>
    <row r="25" spans="1:9" x14ac:dyDescent="0.3">
      <c r="A25" s="11"/>
      <c r="B25" s="11"/>
      <c r="C25" s="11"/>
      <c r="D25" s="11"/>
      <c r="E25" s="11"/>
      <c r="F25" s="11"/>
      <c r="G25" s="11"/>
      <c r="H25" s="11"/>
      <c r="I25" s="11"/>
    </row>
    <row r="26" spans="1:9" x14ac:dyDescent="0.3">
      <c r="A26" s="11"/>
      <c r="B26" s="11"/>
      <c r="C26" s="11"/>
      <c r="D26" s="11"/>
      <c r="E26" s="11"/>
      <c r="F26" s="11"/>
      <c r="G26" s="11"/>
      <c r="H26" s="11"/>
      <c r="I26" s="11"/>
    </row>
    <row r="27" spans="1:9" x14ac:dyDescent="0.3">
      <c r="A27" s="11"/>
      <c r="B27" s="11"/>
      <c r="C27" s="11"/>
      <c r="D27" s="11"/>
      <c r="E27" s="11"/>
      <c r="F27" s="11"/>
      <c r="G27" s="11"/>
      <c r="H27" s="11"/>
      <c r="I27" s="11"/>
    </row>
    <row r="28" spans="1:9" x14ac:dyDescent="0.3">
      <c r="A28" s="11"/>
      <c r="B28" s="11"/>
      <c r="C28" s="11"/>
      <c r="D28" s="11"/>
      <c r="E28" s="11"/>
      <c r="F28" s="11"/>
      <c r="G28" s="11"/>
      <c r="H28" s="11"/>
      <c r="I28" s="11"/>
    </row>
    <row r="29" spans="1:9" x14ac:dyDescent="0.3">
      <c r="A29" s="11"/>
      <c r="B29" s="11"/>
      <c r="C29" s="11"/>
      <c r="D29" s="11"/>
      <c r="E29" s="11"/>
      <c r="F29" s="11"/>
      <c r="G29" s="11"/>
      <c r="H29" s="11"/>
      <c r="I29" s="11"/>
    </row>
    <row r="30" spans="1:9" x14ac:dyDescent="0.3">
      <c r="A30" s="11"/>
      <c r="B30" s="11"/>
      <c r="C30" s="11"/>
      <c r="D30" s="11"/>
      <c r="E30" s="11"/>
      <c r="F30" s="11"/>
      <c r="G30" s="11"/>
      <c r="H30" s="11"/>
      <c r="I30" s="11"/>
    </row>
    <row r="31" spans="1:9" x14ac:dyDescent="0.3">
      <c r="A31" s="11"/>
      <c r="B31" s="11"/>
      <c r="C31" s="11"/>
      <c r="D31" s="11"/>
      <c r="E31" s="11"/>
      <c r="F31" s="11"/>
      <c r="G31" s="11"/>
      <c r="H31" s="11"/>
      <c r="I31" s="11"/>
    </row>
    <row r="32" spans="1:9" x14ac:dyDescent="0.3">
      <c r="A32" s="11"/>
      <c r="B32" s="11"/>
      <c r="C32" s="11"/>
      <c r="D32" s="11"/>
      <c r="E32" s="11"/>
      <c r="F32" s="11"/>
      <c r="G32" s="11"/>
      <c r="H32" s="11"/>
      <c r="I32" s="11"/>
    </row>
    <row r="33" spans="1:9" x14ac:dyDescent="0.3">
      <c r="A33" s="11"/>
      <c r="B33" s="11"/>
      <c r="C33" s="11"/>
      <c r="D33" s="11"/>
      <c r="E33" s="11"/>
      <c r="F33" s="11"/>
      <c r="G33" s="11"/>
      <c r="H33" s="11"/>
      <c r="I33" s="11"/>
    </row>
    <row r="34" spans="1:9" x14ac:dyDescent="0.3">
      <c r="A34" s="11"/>
      <c r="B34" s="11"/>
      <c r="C34" s="11"/>
      <c r="D34" s="11"/>
      <c r="E34" s="11"/>
      <c r="F34" s="11"/>
      <c r="G34" s="11"/>
      <c r="H34" s="11"/>
      <c r="I34" s="11"/>
    </row>
    <row r="35" spans="1:9" x14ac:dyDescent="0.3">
      <c r="A35" s="11"/>
      <c r="B35" s="11"/>
      <c r="C35" s="11"/>
      <c r="D35" s="11"/>
      <c r="E35" s="11"/>
      <c r="F35" s="11"/>
      <c r="G35" s="11"/>
      <c r="H35" s="11"/>
      <c r="I35" s="11"/>
    </row>
    <row r="36" spans="1:9" x14ac:dyDescent="0.3">
      <c r="A36" s="11"/>
      <c r="B36" s="11"/>
      <c r="C36" s="11"/>
      <c r="D36" s="11"/>
      <c r="E36" s="11"/>
      <c r="F36" s="11"/>
      <c r="G36" s="11"/>
      <c r="H36" s="11"/>
      <c r="I36" s="11"/>
    </row>
    <row r="37" spans="1:9" x14ac:dyDescent="0.3">
      <c r="A37" s="11"/>
      <c r="B37" s="11"/>
      <c r="C37" s="11"/>
      <c r="D37" s="11"/>
      <c r="E37" s="11"/>
      <c r="F37" s="11"/>
      <c r="G37" s="11"/>
      <c r="H37" s="11"/>
      <c r="I37" s="11"/>
    </row>
    <row r="38" spans="1:9" x14ac:dyDescent="0.3">
      <c r="A38" s="11"/>
      <c r="B38" s="11"/>
      <c r="C38" s="11"/>
      <c r="D38" s="11"/>
      <c r="E38" s="11"/>
      <c r="F38" s="11"/>
      <c r="G38" s="11"/>
      <c r="H38" s="11"/>
      <c r="I38" s="11"/>
    </row>
    <row r="39" spans="1:9" x14ac:dyDescent="0.3">
      <c r="A39" s="11"/>
      <c r="B39" s="11"/>
      <c r="C39" s="11"/>
      <c r="D39" s="11"/>
      <c r="E39" s="11"/>
      <c r="F39" s="11"/>
      <c r="G39" s="11"/>
      <c r="H39" s="11"/>
      <c r="I39" s="11"/>
    </row>
    <row r="40" spans="1:9" x14ac:dyDescent="0.3">
      <c r="A40" s="11"/>
      <c r="B40" s="11"/>
      <c r="C40" s="11"/>
      <c r="D40" s="11"/>
      <c r="E40" s="11"/>
      <c r="F40" s="11"/>
      <c r="G40" s="11"/>
      <c r="H40" s="11"/>
      <c r="I40" s="11"/>
    </row>
    <row r="41" spans="1:9" x14ac:dyDescent="0.3">
      <c r="A41" s="11"/>
      <c r="B41" s="11"/>
      <c r="C41" s="11"/>
      <c r="D41" s="11"/>
      <c r="E41" s="11"/>
      <c r="F41" s="11"/>
      <c r="G41" s="11"/>
      <c r="H41" s="11"/>
      <c r="I41" s="11"/>
    </row>
    <row r="42" spans="1:9" x14ac:dyDescent="0.3">
      <c r="A42" s="11"/>
      <c r="B42" s="11"/>
      <c r="C42" s="11"/>
      <c r="D42" s="11"/>
      <c r="E42" s="11"/>
      <c r="F42" s="11"/>
      <c r="G42" s="11"/>
      <c r="H42" s="11"/>
      <c r="I42" s="11"/>
    </row>
    <row r="43" spans="1:9" x14ac:dyDescent="0.3">
      <c r="A43" s="11"/>
      <c r="B43" s="11"/>
      <c r="C43" s="11"/>
      <c r="D43" s="11"/>
      <c r="E43" s="11"/>
      <c r="F43" s="11"/>
      <c r="G43" s="11"/>
      <c r="H43" s="11"/>
      <c r="I43" s="11"/>
    </row>
    <row r="44" spans="1:9" x14ac:dyDescent="0.3">
      <c r="A44" s="11"/>
      <c r="B44" s="11"/>
      <c r="C44" s="11"/>
      <c r="D44" s="11"/>
      <c r="E44" s="11"/>
      <c r="F44" s="11"/>
      <c r="G44" s="11"/>
      <c r="H44" s="11"/>
      <c r="I44" s="11"/>
    </row>
    <row r="45" spans="1:9" x14ac:dyDescent="0.3">
      <c r="A45" s="11"/>
      <c r="B45" s="11"/>
      <c r="C45" s="11"/>
      <c r="D45" s="11"/>
      <c r="E45" s="11"/>
      <c r="F45" s="11"/>
      <c r="G45" s="11"/>
      <c r="H45" s="11"/>
      <c r="I45" s="11"/>
    </row>
    <row r="46" spans="1:9" x14ac:dyDescent="0.3">
      <c r="A46" s="11"/>
      <c r="B46" s="11"/>
      <c r="C46" s="11"/>
      <c r="D46" s="11"/>
      <c r="E46" s="11"/>
      <c r="F46" s="11"/>
      <c r="G46" s="11"/>
      <c r="H46" s="11"/>
      <c r="I46" s="11"/>
    </row>
    <row r="47" spans="1:9" x14ac:dyDescent="0.3">
      <c r="A47" s="11"/>
      <c r="B47" s="11"/>
      <c r="C47" s="11"/>
      <c r="D47" s="11"/>
      <c r="E47" s="11"/>
      <c r="F47" s="11"/>
      <c r="G47" s="11"/>
      <c r="H47" s="11"/>
      <c r="I47" s="11"/>
    </row>
    <row r="48" spans="1:9" x14ac:dyDescent="0.3">
      <c r="A48" s="11"/>
      <c r="B48" s="11"/>
      <c r="C48" s="11"/>
      <c r="D48" s="11"/>
      <c r="E48" s="11"/>
      <c r="F48" s="11"/>
      <c r="G48" s="11"/>
      <c r="H48" s="11"/>
      <c r="I48" s="11"/>
    </row>
    <row r="49" spans="1:9" x14ac:dyDescent="0.3">
      <c r="A49" s="11"/>
      <c r="B49" s="11"/>
      <c r="C49" s="11"/>
      <c r="D49" s="11"/>
      <c r="E49" s="11"/>
      <c r="F49" s="11"/>
      <c r="G49" s="11"/>
      <c r="H49" s="11"/>
      <c r="I49" s="11"/>
    </row>
    <row r="50" spans="1:9" x14ac:dyDescent="0.3">
      <c r="A50" s="11"/>
      <c r="B50" s="11"/>
      <c r="C50" s="11"/>
      <c r="D50" s="11"/>
      <c r="E50" s="11"/>
      <c r="F50" s="11"/>
      <c r="G50" s="11"/>
      <c r="H50" s="11"/>
      <c r="I50" s="11"/>
    </row>
    <row r="51" spans="1:9" x14ac:dyDescent="0.3">
      <c r="A51" s="11"/>
      <c r="B51" s="11"/>
      <c r="C51" s="11"/>
      <c r="D51" s="11"/>
      <c r="E51" s="11"/>
      <c r="F51" s="11"/>
      <c r="G51" s="11"/>
      <c r="H51" s="11"/>
      <c r="I51" s="11"/>
    </row>
    <row r="52" spans="1:9" x14ac:dyDescent="0.3">
      <c r="A52" s="11"/>
      <c r="B52" s="11"/>
      <c r="C52" s="11"/>
      <c r="D52" s="11"/>
      <c r="E52" s="11"/>
      <c r="F52" s="11"/>
      <c r="G52" s="11"/>
      <c r="H52" s="11"/>
      <c r="I52" s="11"/>
    </row>
    <row r="53" spans="1:9" x14ac:dyDescent="0.3">
      <c r="A53" s="11"/>
      <c r="B53" s="11"/>
      <c r="C53" s="11"/>
      <c r="D53" s="11"/>
      <c r="E53" s="11"/>
      <c r="F53" s="11"/>
      <c r="G53" s="11"/>
      <c r="H53" s="11"/>
      <c r="I53" s="11"/>
    </row>
    <row r="54" spans="1:9" x14ac:dyDescent="0.3">
      <c r="A54" s="11"/>
      <c r="B54" s="11"/>
      <c r="C54" s="11"/>
      <c r="D54" s="11"/>
      <c r="E54" s="11"/>
      <c r="F54" s="11"/>
      <c r="G54" s="11"/>
      <c r="H54" s="11"/>
      <c r="I54" s="11"/>
    </row>
    <row r="55" spans="1:9" x14ac:dyDescent="0.3">
      <c r="A55" s="11"/>
      <c r="B55" s="11"/>
      <c r="C55" s="11"/>
      <c r="D55" s="11"/>
      <c r="E55" s="11"/>
      <c r="F55" s="11"/>
      <c r="G55" s="11"/>
      <c r="H55" s="11"/>
      <c r="I55" s="11"/>
    </row>
    <row r="56" spans="1:9" x14ac:dyDescent="0.3">
      <c r="A56" s="11"/>
      <c r="B56" s="11"/>
      <c r="C56" s="11"/>
      <c r="D56" s="11"/>
      <c r="E56" s="11"/>
      <c r="F56" s="11"/>
      <c r="G56" s="11"/>
      <c r="H56" s="11"/>
      <c r="I56" s="11"/>
    </row>
    <row r="57" spans="1:9" x14ac:dyDescent="0.3">
      <c r="A57" s="11"/>
      <c r="B57" s="11"/>
      <c r="C57" s="11"/>
      <c r="D57" s="11"/>
      <c r="E57" s="11"/>
      <c r="F57" s="11"/>
      <c r="G57" s="11"/>
      <c r="H57" s="11"/>
      <c r="I57" s="11"/>
    </row>
    <row r="58" spans="1:9" x14ac:dyDescent="0.3">
      <c r="A58" s="11"/>
      <c r="B58" s="11"/>
      <c r="C58" s="11"/>
      <c r="D58" s="11"/>
      <c r="E58" s="11"/>
      <c r="F58" s="11"/>
      <c r="G58" s="11"/>
      <c r="H58" s="11"/>
      <c r="I58" s="11"/>
    </row>
    <row r="59" spans="1:9" x14ac:dyDescent="0.3">
      <c r="A59" s="11"/>
      <c r="B59" s="11"/>
      <c r="C59" s="11"/>
      <c r="D59" s="11"/>
      <c r="E59" s="11"/>
      <c r="F59" s="11"/>
      <c r="G59" s="11"/>
      <c r="H59" s="11"/>
      <c r="I59" s="11"/>
    </row>
    <row r="60" spans="1:9" x14ac:dyDescent="0.3">
      <c r="A60" s="11"/>
      <c r="B60" s="11"/>
      <c r="C60" s="11"/>
      <c r="D60" s="11"/>
      <c r="E60" s="11"/>
      <c r="F60" s="11"/>
      <c r="G60" s="11"/>
      <c r="H60" s="11"/>
      <c r="I60" s="11"/>
    </row>
    <row r="61" spans="1:9" x14ac:dyDescent="0.3">
      <c r="A61" s="11"/>
      <c r="B61" s="11"/>
      <c r="C61" s="11"/>
      <c r="D61" s="11"/>
      <c r="E61" s="11"/>
      <c r="F61" s="11"/>
      <c r="G61" s="11"/>
      <c r="H61" s="11"/>
      <c r="I61" s="11"/>
    </row>
    <row r="62" spans="1:9" x14ac:dyDescent="0.3">
      <c r="A62" s="11"/>
      <c r="B62" s="11"/>
      <c r="C62" s="11"/>
      <c r="D62" s="11"/>
      <c r="E62" s="11"/>
      <c r="F62" s="11"/>
      <c r="G62" s="11"/>
      <c r="H62" s="11"/>
      <c r="I62" s="11"/>
    </row>
    <row r="63" spans="1:9" x14ac:dyDescent="0.3">
      <c r="A63" s="11"/>
      <c r="B63" s="11"/>
      <c r="C63" s="11"/>
      <c r="D63" s="11"/>
      <c r="E63" s="11"/>
      <c r="F63" s="11"/>
      <c r="G63" s="11"/>
      <c r="H63" s="11"/>
      <c r="I63" s="11"/>
    </row>
    <row r="64" spans="1:9" x14ac:dyDescent="0.3">
      <c r="A64" s="11"/>
      <c r="B64" s="11"/>
      <c r="C64" s="11"/>
      <c r="D64" s="11"/>
      <c r="E64" s="11"/>
      <c r="F64" s="11"/>
      <c r="G64" s="11"/>
      <c r="H64" s="11"/>
      <c r="I64" s="11"/>
    </row>
    <row r="65" spans="1:9" x14ac:dyDescent="0.3">
      <c r="A65" s="11"/>
      <c r="B65" s="11"/>
      <c r="C65" s="11"/>
      <c r="D65" s="11"/>
      <c r="E65" s="11"/>
      <c r="F65" s="11"/>
      <c r="G65" s="11"/>
      <c r="H65" s="11"/>
      <c r="I65" s="11"/>
    </row>
    <row r="66" spans="1:9" x14ac:dyDescent="0.3">
      <c r="A66" s="11"/>
      <c r="B66" s="11"/>
      <c r="C66" s="11"/>
      <c r="D66" s="11"/>
      <c r="E66" s="11"/>
      <c r="F66" s="11"/>
      <c r="G66" s="11"/>
      <c r="H66" s="11"/>
      <c r="I66" s="11"/>
    </row>
    <row r="67" spans="1:9" x14ac:dyDescent="0.3">
      <c r="A67" s="11"/>
      <c r="B67" s="11"/>
      <c r="C67" s="11"/>
      <c r="D67" s="11"/>
      <c r="E67" s="11"/>
      <c r="F67" s="11"/>
      <c r="G67" s="11"/>
      <c r="H67" s="11"/>
      <c r="I67" s="11"/>
    </row>
    <row r="68" spans="1:9" x14ac:dyDescent="0.3">
      <c r="A68" s="11"/>
      <c r="B68" s="11"/>
      <c r="C68" s="11"/>
      <c r="D68" s="11"/>
      <c r="E68" s="11"/>
      <c r="F68" s="11"/>
      <c r="G68" s="11"/>
      <c r="H68" s="11"/>
      <c r="I68" s="11"/>
    </row>
    <row r="69" spans="1:9" x14ac:dyDescent="0.3">
      <c r="A69" s="11"/>
      <c r="B69" s="11"/>
      <c r="C69" s="11"/>
      <c r="D69" s="11"/>
      <c r="E69" s="11"/>
      <c r="F69" s="11"/>
      <c r="G69" s="11"/>
      <c r="H69" s="11"/>
      <c r="I69" s="11"/>
    </row>
    <row r="70" spans="1:9" x14ac:dyDescent="0.3">
      <c r="A70" s="11"/>
      <c r="B70" s="11"/>
      <c r="C70" s="11"/>
      <c r="D70" s="11"/>
      <c r="E70" s="11"/>
      <c r="F70" s="11"/>
      <c r="G70" s="11"/>
      <c r="H70" s="11"/>
      <c r="I70" s="11"/>
    </row>
    <row r="71" spans="1:9" x14ac:dyDescent="0.3">
      <c r="A71" s="11"/>
      <c r="B71" s="11"/>
      <c r="C71" s="11"/>
      <c r="D71" s="11"/>
      <c r="E71" s="11"/>
      <c r="F71" s="11"/>
      <c r="G71" s="11"/>
      <c r="H71" s="11"/>
      <c r="I71" s="11"/>
    </row>
    <row r="72" spans="1:9" x14ac:dyDescent="0.3">
      <c r="A72" s="11"/>
      <c r="B72" s="11"/>
      <c r="C72" s="11"/>
      <c r="D72" s="11"/>
      <c r="E72" s="11"/>
      <c r="F72" s="11"/>
      <c r="G72" s="11"/>
      <c r="H72" s="11"/>
      <c r="I72" s="11"/>
    </row>
    <row r="73" spans="1:9" x14ac:dyDescent="0.3">
      <c r="A73" s="11"/>
      <c r="B73" s="11"/>
      <c r="C73" s="11"/>
      <c r="D73" s="11"/>
      <c r="E73" s="11"/>
      <c r="F73" s="11"/>
      <c r="G73" s="11"/>
      <c r="H73" s="11"/>
      <c r="I73" s="11"/>
    </row>
    <row r="74" spans="1:9" x14ac:dyDescent="0.3">
      <c r="A74" s="11"/>
      <c r="B74" s="11"/>
      <c r="C74" s="11"/>
      <c r="D74" s="11"/>
      <c r="E74" s="11"/>
      <c r="F74" s="11"/>
      <c r="G74" s="11"/>
      <c r="H74" s="11"/>
      <c r="I74" s="11"/>
    </row>
    <row r="75" spans="1:9" x14ac:dyDescent="0.3">
      <c r="A75" s="11"/>
      <c r="B75" s="11"/>
      <c r="C75" s="11"/>
      <c r="D75" s="11"/>
      <c r="E75" s="11"/>
      <c r="F75" s="11"/>
      <c r="G75" s="11"/>
      <c r="H75" s="11"/>
      <c r="I75" s="11"/>
    </row>
    <row r="76" spans="1:9" x14ac:dyDescent="0.3">
      <c r="A76" s="11"/>
      <c r="B76" s="11"/>
      <c r="C76" s="11"/>
      <c r="D76" s="11"/>
      <c r="E76" s="11"/>
      <c r="F76" s="11"/>
      <c r="G76" s="11"/>
      <c r="H76" s="11"/>
      <c r="I76" s="11"/>
    </row>
    <row r="77" spans="1:9" x14ac:dyDescent="0.3">
      <c r="A77" s="11"/>
      <c r="B77" s="11"/>
      <c r="C77" s="11"/>
      <c r="D77" s="11"/>
      <c r="E77" s="11"/>
      <c r="F77" s="11"/>
      <c r="G77" s="11"/>
      <c r="H77" s="11"/>
      <c r="I77" s="11"/>
    </row>
    <row r="78" spans="1:9" x14ac:dyDescent="0.3">
      <c r="A78" s="11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A79" s="11"/>
      <c r="B79" s="11"/>
      <c r="C79" s="11"/>
      <c r="D79" s="11"/>
      <c r="E79" s="11"/>
      <c r="F79" s="11"/>
      <c r="G79" s="11"/>
      <c r="H79" s="11"/>
      <c r="I79" s="11"/>
    </row>
    <row r="80" spans="1:9" x14ac:dyDescent="0.3">
      <c r="A80" s="11"/>
      <c r="B80" s="11"/>
      <c r="C80" s="11"/>
      <c r="D80" s="11"/>
      <c r="E80" s="11"/>
      <c r="F80" s="11"/>
      <c r="G80" s="11"/>
      <c r="H80" s="11"/>
      <c r="I80" s="11"/>
    </row>
    <row r="81" spans="1:9" x14ac:dyDescent="0.3">
      <c r="A81" s="11"/>
      <c r="B81" s="11"/>
      <c r="C81" s="11"/>
      <c r="D81" s="11"/>
      <c r="E81" s="11"/>
      <c r="F81" s="11"/>
      <c r="G81" s="11"/>
      <c r="H81" s="11"/>
      <c r="I81" s="11"/>
    </row>
    <row r="82" spans="1:9" x14ac:dyDescent="0.3">
      <c r="A82" s="11"/>
      <c r="B82" s="11"/>
      <c r="C82" s="11"/>
      <c r="D82" s="11"/>
      <c r="E82" s="11"/>
      <c r="F82" s="11"/>
      <c r="G82" s="11"/>
      <c r="H82" s="11"/>
      <c r="I82" s="11"/>
    </row>
    <row r="83" spans="1:9" x14ac:dyDescent="0.3">
      <c r="A83" s="11"/>
      <c r="B83" s="11"/>
      <c r="C83" s="11"/>
      <c r="D83" s="11"/>
      <c r="E83" s="11"/>
      <c r="F83" s="11"/>
      <c r="G83" s="11"/>
      <c r="H83" s="11"/>
      <c r="I83" s="11"/>
    </row>
    <row r="84" spans="1:9" x14ac:dyDescent="0.3">
      <c r="A84" s="11"/>
      <c r="B84" s="11"/>
      <c r="C84" s="11"/>
      <c r="D84" s="11"/>
      <c r="E84" s="11"/>
      <c r="F84" s="11"/>
      <c r="G84" s="11"/>
      <c r="H84" s="11"/>
      <c r="I84" s="11"/>
    </row>
    <row r="85" spans="1:9" x14ac:dyDescent="0.3">
      <c r="A85" s="11"/>
      <c r="B85" s="11"/>
      <c r="C85" s="11"/>
      <c r="D85" s="11"/>
      <c r="E85" s="11"/>
      <c r="F85" s="11"/>
      <c r="G85" s="11"/>
      <c r="H85" s="11"/>
      <c r="I85" s="11"/>
    </row>
    <row r="86" spans="1:9" x14ac:dyDescent="0.3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3">
      <c r="A87" s="11"/>
      <c r="B87" s="11"/>
      <c r="C87" s="11"/>
      <c r="D87" s="11"/>
      <c r="E87" s="11"/>
      <c r="F87" s="11"/>
      <c r="G87" s="11"/>
      <c r="H87" s="11"/>
      <c r="I87" s="11"/>
    </row>
    <row r="88" spans="1:9" x14ac:dyDescent="0.3">
      <c r="A88" s="11"/>
      <c r="B88" s="11"/>
      <c r="C88" s="11"/>
      <c r="D88" s="11"/>
      <c r="E88" s="11"/>
      <c r="F88" s="11"/>
      <c r="G88" s="11"/>
      <c r="H88" s="11"/>
      <c r="I88" s="11"/>
    </row>
    <row r="89" spans="1:9" x14ac:dyDescent="0.3">
      <c r="A89" s="11"/>
      <c r="B89" s="11"/>
      <c r="C89" s="11"/>
      <c r="D89" s="11"/>
      <c r="E89" s="11"/>
      <c r="F89" s="11"/>
      <c r="G89" s="11"/>
      <c r="H89" s="11"/>
      <c r="I89" s="11"/>
    </row>
    <row r="90" spans="1:9" x14ac:dyDescent="0.3">
      <c r="A90" s="11"/>
      <c r="B90" s="11"/>
      <c r="C90" s="11"/>
      <c r="D90" s="11"/>
      <c r="E90" s="11"/>
      <c r="F90" s="11"/>
      <c r="G90" s="11"/>
      <c r="H90" s="11"/>
      <c r="I90" s="11"/>
    </row>
    <row r="91" spans="1:9" x14ac:dyDescent="0.3">
      <c r="A91" s="11"/>
      <c r="B91" s="11"/>
      <c r="C91" s="11"/>
      <c r="D91" s="11"/>
      <c r="E91" s="11"/>
      <c r="F91" s="11"/>
      <c r="G91" s="11"/>
      <c r="H91" s="11"/>
      <c r="I91" s="11"/>
    </row>
    <row r="92" spans="1:9" x14ac:dyDescent="0.3">
      <c r="A92" s="11"/>
      <c r="B92" s="11"/>
      <c r="C92" s="11"/>
      <c r="D92" s="11"/>
      <c r="E92" s="11"/>
      <c r="F92" s="11"/>
      <c r="G92" s="11"/>
      <c r="H92" s="11"/>
      <c r="I92" s="11"/>
    </row>
    <row r="93" spans="1:9" x14ac:dyDescent="0.3">
      <c r="A93" s="11"/>
      <c r="B93" s="11"/>
      <c r="C93" s="11"/>
      <c r="D93" s="11"/>
      <c r="E93" s="11"/>
      <c r="F93" s="11"/>
      <c r="G93" s="11"/>
      <c r="H93" s="11"/>
      <c r="I93" s="11"/>
    </row>
    <row r="94" spans="1:9" x14ac:dyDescent="0.3">
      <c r="A94" s="11"/>
      <c r="B94" s="11"/>
      <c r="C94" s="11"/>
      <c r="D94" s="11"/>
      <c r="E94" s="11"/>
      <c r="F94" s="11"/>
      <c r="G94" s="11"/>
      <c r="H94" s="11"/>
      <c r="I94" s="11"/>
    </row>
    <row r="95" spans="1:9" x14ac:dyDescent="0.3">
      <c r="A95" s="11"/>
      <c r="B95" s="11"/>
      <c r="C95" s="11"/>
      <c r="D95" s="11"/>
      <c r="E95" s="11"/>
      <c r="F95" s="11"/>
      <c r="G95" s="11"/>
      <c r="H95" s="11"/>
      <c r="I95" s="11"/>
    </row>
    <row r="96" spans="1:9" x14ac:dyDescent="0.3">
      <c r="A96" s="11"/>
      <c r="B96" s="11"/>
      <c r="C96" s="11"/>
      <c r="D96" s="11"/>
      <c r="E96" s="11"/>
      <c r="F96" s="11"/>
      <c r="G96" s="11"/>
      <c r="H96" s="11"/>
      <c r="I96" s="11"/>
    </row>
    <row r="97" spans="1:9" x14ac:dyDescent="0.3">
      <c r="A97" s="11"/>
      <c r="B97" s="11"/>
      <c r="C97" s="11"/>
      <c r="D97" s="11"/>
      <c r="E97" s="11"/>
      <c r="F97" s="11"/>
      <c r="G97" s="11"/>
      <c r="H97" s="11"/>
      <c r="I97" s="11"/>
    </row>
    <row r="98" spans="1:9" x14ac:dyDescent="0.3">
      <c r="A98" s="11"/>
      <c r="B98" s="11"/>
      <c r="C98" s="11"/>
      <c r="D98" s="11"/>
      <c r="E98" s="11"/>
      <c r="F98" s="11"/>
      <c r="G98" s="11"/>
      <c r="H98" s="11"/>
      <c r="I98" s="11"/>
    </row>
    <row r="99" spans="1:9" x14ac:dyDescent="0.3">
      <c r="A99" s="11"/>
      <c r="B99" s="11"/>
      <c r="C99" s="11"/>
      <c r="D99" s="11"/>
      <c r="E99" s="11"/>
      <c r="F99" s="11"/>
      <c r="G99" s="11"/>
      <c r="H99" s="11"/>
      <c r="I99" s="11"/>
    </row>
    <row r="100" spans="1:9" x14ac:dyDescent="0.3">
      <c r="A100" s="11"/>
      <c r="B100" s="11"/>
      <c r="C100" s="11"/>
      <c r="D100" s="11"/>
      <c r="E100" s="11"/>
      <c r="F100" s="11"/>
      <c r="G100" s="11"/>
      <c r="H100" s="11"/>
      <c r="I100" s="11"/>
    </row>
    <row r="101" spans="1:9" x14ac:dyDescent="0.3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3">
      <c r="A102" s="11"/>
      <c r="B102" s="11"/>
      <c r="C102" s="11"/>
      <c r="D102" s="11"/>
      <c r="E102" s="11"/>
      <c r="F102" s="11"/>
      <c r="G102" s="11"/>
      <c r="H102" s="11"/>
      <c r="I102" s="11"/>
    </row>
    <row r="103" spans="1:9" x14ac:dyDescent="0.3">
      <c r="A103" s="11"/>
      <c r="B103" s="11"/>
      <c r="C103" s="11"/>
      <c r="D103" s="11"/>
      <c r="E103" s="11"/>
      <c r="F103" s="11"/>
      <c r="G103" s="11"/>
      <c r="H103" s="11"/>
      <c r="I103" s="11"/>
    </row>
    <row r="104" spans="1:9" x14ac:dyDescent="0.3">
      <c r="A104" s="11"/>
      <c r="B104" s="11"/>
      <c r="C104" s="11"/>
      <c r="D104" s="11"/>
      <c r="E104" s="11"/>
      <c r="F104" s="11"/>
      <c r="G104" s="11"/>
      <c r="H104" s="11"/>
      <c r="I104" s="11"/>
    </row>
    <row r="105" spans="1:9" x14ac:dyDescent="0.3">
      <c r="A105" s="11"/>
      <c r="B105" s="11"/>
      <c r="C105" s="11"/>
      <c r="D105" s="11"/>
      <c r="E105" s="11"/>
      <c r="F105" s="11"/>
      <c r="G105" s="11"/>
      <c r="H105" s="11"/>
      <c r="I105" s="11"/>
    </row>
    <row r="106" spans="1:9" x14ac:dyDescent="0.3">
      <c r="A106" s="11"/>
      <c r="B106" s="11"/>
      <c r="C106" s="11"/>
      <c r="D106" s="11"/>
      <c r="E106" s="11"/>
      <c r="F106" s="11"/>
      <c r="G106" s="11"/>
      <c r="H106" s="11"/>
      <c r="I106" s="11"/>
    </row>
    <row r="107" spans="1:9" x14ac:dyDescent="0.3">
      <c r="A107" s="11"/>
      <c r="B107" s="11"/>
      <c r="C107" s="11"/>
      <c r="D107" s="11"/>
      <c r="E107" s="11"/>
      <c r="F107" s="11"/>
      <c r="G107" s="11"/>
      <c r="H107" s="11"/>
      <c r="I107" s="11"/>
    </row>
    <row r="108" spans="1:9" x14ac:dyDescent="0.3">
      <c r="A108" s="11"/>
      <c r="B108" s="11"/>
      <c r="C108" s="11"/>
      <c r="D108" s="11"/>
      <c r="E108" s="11"/>
      <c r="F108" s="11"/>
      <c r="G108" s="11"/>
      <c r="H108" s="11"/>
      <c r="I108" s="11"/>
    </row>
    <row r="109" spans="1:9" x14ac:dyDescent="0.3">
      <c r="A109" s="11"/>
      <c r="B109" s="11"/>
      <c r="C109" s="11"/>
      <c r="D109" s="11"/>
      <c r="E109" s="11"/>
      <c r="F109" s="11"/>
      <c r="G109" s="11"/>
      <c r="H109" s="11"/>
      <c r="I109" s="11"/>
    </row>
    <row r="110" spans="1:9" x14ac:dyDescent="0.3">
      <c r="A110" s="11"/>
      <c r="B110" s="11"/>
      <c r="C110" s="11"/>
      <c r="D110" s="11"/>
      <c r="E110" s="11"/>
      <c r="F110" s="11"/>
      <c r="G110" s="11"/>
      <c r="H110" s="11"/>
      <c r="I110" s="11"/>
    </row>
    <row r="111" spans="1:9" x14ac:dyDescent="0.3">
      <c r="A111" s="11"/>
      <c r="B111" s="11"/>
      <c r="C111" s="11"/>
      <c r="D111" s="11"/>
      <c r="E111" s="11"/>
      <c r="F111" s="11"/>
      <c r="G111" s="11"/>
      <c r="H111" s="11"/>
      <c r="I111" s="11"/>
    </row>
    <row r="112" spans="1:9" x14ac:dyDescent="0.3">
      <c r="A112" s="11"/>
      <c r="B112" s="11"/>
      <c r="C112" s="11"/>
      <c r="D112" s="11"/>
      <c r="E112" s="11"/>
      <c r="F112" s="11"/>
      <c r="G112" s="11"/>
      <c r="H112" s="11"/>
      <c r="I112" s="11"/>
    </row>
    <row r="113" spans="1:9" x14ac:dyDescent="0.3">
      <c r="A113" s="11"/>
      <c r="B113" s="11"/>
      <c r="C113" s="11"/>
      <c r="D113" s="11"/>
      <c r="E113" s="11"/>
      <c r="F113" s="11"/>
      <c r="G113" s="11"/>
      <c r="H113" s="11"/>
      <c r="I113" s="11"/>
    </row>
    <row r="114" spans="1:9" x14ac:dyDescent="0.3">
      <c r="A114" s="11"/>
      <c r="B114" s="11"/>
      <c r="C114" s="11"/>
      <c r="D114" s="11"/>
      <c r="E114" s="11"/>
      <c r="F114" s="11"/>
      <c r="G114" s="11"/>
      <c r="H114" s="11"/>
      <c r="I114" s="11"/>
    </row>
    <row r="115" spans="1:9" x14ac:dyDescent="0.3">
      <c r="A115" s="11"/>
      <c r="B115" s="11"/>
      <c r="C115" s="11"/>
      <c r="D115" s="11"/>
      <c r="E115" s="11"/>
      <c r="F115" s="11"/>
      <c r="G115" s="11"/>
      <c r="H115" s="11"/>
      <c r="I115" s="11"/>
    </row>
    <row r="116" spans="1:9" x14ac:dyDescent="0.3">
      <c r="A116" s="11"/>
      <c r="B116" s="11"/>
      <c r="C116" s="11"/>
      <c r="D116" s="11"/>
      <c r="E116" s="11"/>
      <c r="F116" s="11"/>
      <c r="G116" s="11"/>
      <c r="H116" s="11"/>
      <c r="I116" s="11"/>
    </row>
    <row r="117" spans="1:9" x14ac:dyDescent="0.3">
      <c r="A117" s="11"/>
      <c r="B117" s="11"/>
      <c r="C117" s="11"/>
      <c r="D117" s="11"/>
      <c r="E117" s="11"/>
      <c r="F117" s="11"/>
      <c r="G117" s="11"/>
      <c r="H117" s="11"/>
      <c r="I117" s="11"/>
    </row>
    <row r="118" spans="1:9" x14ac:dyDescent="0.3">
      <c r="A118" s="11"/>
      <c r="B118" s="11"/>
      <c r="C118" s="11"/>
      <c r="D118" s="11"/>
      <c r="E118" s="11"/>
      <c r="F118" s="11"/>
      <c r="G118" s="11"/>
      <c r="H118" s="11"/>
      <c r="I118" s="11"/>
    </row>
    <row r="119" spans="1:9" x14ac:dyDescent="0.3">
      <c r="A119" s="11"/>
      <c r="B119" s="11"/>
      <c r="C119" s="11"/>
      <c r="D119" s="11"/>
      <c r="E119" s="11"/>
      <c r="F119" s="11"/>
      <c r="G119" s="11"/>
      <c r="H119" s="11"/>
      <c r="I119" s="11"/>
    </row>
    <row r="120" spans="1:9" x14ac:dyDescent="0.3">
      <c r="A120" s="11"/>
      <c r="B120" s="11"/>
      <c r="C120" s="11"/>
      <c r="D120" s="11"/>
      <c r="E120" s="11"/>
      <c r="F120" s="11"/>
      <c r="G120" s="11"/>
      <c r="H120" s="11"/>
      <c r="I120" s="11"/>
    </row>
    <row r="121" spans="1:9" x14ac:dyDescent="0.3">
      <c r="A121" s="11"/>
      <c r="B121" s="11"/>
      <c r="C121" s="11"/>
      <c r="D121" s="11"/>
      <c r="E121" s="11"/>
      <c r="F121" s="11"/>
      <c r="G121" s="11"/>
      <c r="H121" s="11"/>
      <c r="I121" s="11"/>
    </row>
    <row r="122" spans="1:9" x14ac:dyDescent="0.3">
      <c r="A122" s="11"/>
      <c r="B122" s="11"/>
      <c r="C122" s="11"/>
      <c r="D122" s="11"/>
      <c r="E122" s="11"/>
      <c r="F122" s="11"/>
      <c r="G122" s="11"/>
      <c r="H122" s="11"/>
      <c r="I122" s="11"/>
    </row>
    <row r="123" spans="1:9" x14ac:dyDescent="0.3">
      <c r="A123" s="11"/>
      <c r="B123" s="11"/>
      <c r="C123" s="11"/>
      <c r="D123" s="11"/>
      <c r="E123" s="11"/>
      <c r="F123" s="11"/>
      <c r="G123" s="11"/>
      <c r="H123" s="11"/>
      <c r="I123" s="11"/>
    </row>
    <row r="124" spans="1:9" x14ac:dyDescent="0.3">
      <c r="A124" s="11"/>
      <c r="B124" s="11"/>
      <c r="C124" s="11"/>
      <c r="D124" s="11"/>
      <c r="E124" s="11"/>
      <c r="F124" s="11"/>
      <c r="G124" s="11"/>
      <c r="H124" s="11"/>
      <c r="I124" s="11"/>
    </row>
    <row r="125" spans="1:9" x14ac:dyDescent="0.3">
      <c r="A125" s="11"/>
      <c r="B125" s="11"/>
      <c r="C125" s="11"/>
      <c r="D125" s="11"/>
      <c r="E125" s="11"/>
      <c r="F125" s="11"/>
      <c r="G125" s="11"/>
      <c r="H125" s="11"/>
      <c r="I125" s="11"/>
    </row>
    <row r="126" spans="1:9" x14ac:dyDescent="0.3">
      <c r="A126" s="11"/>
      <c r="B126" s="11"/>
      <c r="C126" s="11"/>
      <c r="D126" s="11"/>
      <c r="E126" s="11"/>
      <c r="F126" s="11"/>
      <c r="G126" s="11"/>
      <c r="H126" s="11"/>
      <c r="I126" s="11"/>
    </row>
    <row r="127" spans="1:9" x14ac:dyDescent="0.3">
      <c r="A127" s="11"/>
      <c r="B127" s="11"/>
      <c r="C127" s="11"/>
      <c r="D127" s="11"/>
      <c r="E127" s="11"/>
      <c r="F127" s="11"/>
      <c r="G127" s="11"/>
      <c r="H127" s="11"/>
      <c r="I127" s="11"/>
    </row>
    <row r="128" spans="1:9" x14ac:dyDescent="0.3">
      <c r="A128" s="11"/>
      <c r="B128" s="11"/>
      <c r="C128" s="11"/>
      <c r="D128" s="11"/>
      <c r="E128" s="11"/>
      <c r="F128" s="11"/>
      <c r="G128" s="11"/>
      <c r="H128" s="11"/>
      <c r="I128" s="11"/>
    </row>
    <row r="129" spans="1:9" x14ac:dyDescent="0.3">
      <c r="A129" s="11"/>
      <c r="B129" s="11"/>
      <c r="C129" s="11"/>
      <c r="D129" s="11"/>
      <c r="E129" s="11"/>
      <c r="F129" s="11"/>
      <c r="G129" s="11"/>
      <c r="H129" s="11"/>
      <c r="I129" s="11"/>
    </row>
    <row r="130" spans="1:9" x14ac:dyDescent="0.3">
      <c r="A130" s="11"/>
      <c r="B130" s="11"/>
      <c r="C130" s="11"/>
      <c r="D130" s="11"/>
      <c r="E130" s="11"/>
      <c r="F130" s="11"/>
      <c r="G130" s="11"/>
      <c r="H130" s="11"/>
      <c r="I130" s="11"/>
    </row>
    <row r="131" spans="1:9" x14ac:dyDescent="0.3">
      <c r="A131" s="11"/>
      <c r="B131" s="11"/>
      <c r="C131" s="11"/>
      <c r="D131" s="11"/>
      <c r="E131" s="11"/>
      <c r="F131" s="11"/>
      <c r="G131" s="11"/>
      <c r="H131" s="11"/>
      <c r="I131" s="11"/>
    </row>
    <row r="132" spans="1:9" x14ac:dyDescent="0.3">
      <c r="A132" s="11"/>
      <c r="B132" s="11"/>
      <c r="C132" s="11"/>
      <c r="D132" s="11"/>
      <c r="E132" s="11"/>
      <c r="F132" s="11"/>
      <c r="G132" s="11"/>
      <c r="H132" s="11"/>
      <c r="I132" s="11"/>
    </row>
    <row r="133" spans="1:9" x14ac:dyDescent="0.3">
      <c r="A133" s="11"/>
      <c r="B133" s="11"/>
      <c r="C133" s="11"/>
      <c r="D133" s="11"/>
      <c r="E133" s="11"/>
      <c r="F133" s="11"/>
      <c r="G133" s="11"/>
      <c r="H133" s="11"/>
      <c r="I133" s="11"/>
    </row>
    <row r="134" spans="1:9" x14ac:dyDescent="0.3">
      <c r="A134" s="11"/>
      <c r="B134" s="11"/>
      <c r="C134" s="11"/>
      <c r="D134" s="11"/>
      <c r="E134" s="11"/>
      <c r="F134" s="11"/>
      <c r="G134" s="11"/>
      <c r="H134" s="11"/>
      <c r="I134" s="11"/>
    </row>
    <row r="135" spans="1:9" x14ac:dyDescent="0.3">
      <c r="A135" s="11"/>
      <c r="B135" s="11"/>
      <c r="C135" s="11"/>
      <c r="D135" s="11"/>
      <c r="E135" s="11"/>
      <c r="F135" s="11"/>
      <c r="G135" s="11"/>
      <c r="H135" s="11"/>
      <c r="I135" s="11"/>
    </row>
    <row r="136" spans="1:9" x14ac:dyDescent="0.3">
      <c r="A136" s="11"/>
      <c r="B136" s="11"/>
      <c r="C136" s="11"/>
      <c r="D136" s="11"/>
      <c r="E136" s="11"/>
      <c r="F136" s="11"/>
      <c r="G136" s="11"/>
      <c r="H136" s="11"/>
      <c r="I136" s="11"/>
    </row>
    <row r="137" spans="1:9" x14ac:dyDescent="0.3">
      <c r="A137" s="11"/>
      <c r="B137" s="11"/>
      <c r="C137" s="11"/>
      <c r="D137" s="11"/>
      <c r="E137" s="11"/>
      <c r="F137" s="11"/>
      <c r="G137" s="11"/>
      <c r="H137" s="11"/>
      <c r="I137" s="11"/>
    </row>
    <row r="138" spans="1:9" x14ac:dyDescent="0.3">
      <c r="A138" s="11"/>
      <c r="B138" s="11"/>
      <c r="C138" s="11"/>
      <c r="D138" s="11"/>
      <c r="E138" s="11"/>
      <c r="F138" s="11"/>
      <c r="G138" s="11"/>
      <c r="H138" s="11"/>
      <c r="I138" s="11"/>
    </row>
    <row r="139" spans="1:9" x14ac:dyDescent="0.3">
      <c r="A139" s="11"/>
      <c r="B139" s="11"/>
      <c r="C139" s="11"/>
      <c r="D139" s="11"/>
      <c r="E139" s="11"/>
      <c r="F139" s="11"/>
      <c r="G139" s="11"/>
      <c r="H139" s="11"/>
      <c r="I139" s="11"/>
    </row>
    <row r="140" spans="1:9" x14ac:dyDescent="0.3">
      <c r="A140" s="11"/>
      <c r="B140" s="11"/>
      <c r="C140" s="11"/>
      <c r="D140" s="11"/>
      <c r="E140" s="11"/>
      <c r="F140" s="11"/>
      <c r="G140" s="11"/>
      <c r="H140" s="11"/>
      <c r="I140" s="11"/>
    </row>
    <row r="141" spans="1:9" x14ac:dyDescent="0.3">
      <c r="A141" s="11"/>
      <c r="B141" s="11"/>
      <c r="C141" s="11"/>
      <c r="D141" s="11"/>
      <c r="E141" s="11"/>
      <c r="F141" s="11"/>
      <c r="G141" s="11"/>
      <c r="H141" s="11"/>
      <c r="I141" s="11"/>
    </row>
    <row r="142" spans="1:9" x14ac:dyDescent="0.3">
      <c r="A142" s="11"/>
      <c r="B142" s="11"/>
      <c r="C142" s="11"/>
      <c r="D142" s="11"/>
      <c r="E142" s="11"/>
      <c r="F142" s="11"/>
      <c r="G142" s="11"/>
      <c r="H142" s="11"/>
      <c r="I142" s="11"/>
    </row>
    <row r="143" spans="1:9" x14ac:dyDescent="0.3">
      <c r="A143" s="11"/>
      <c r="B143" s="11"/>
      <c r="C143" s="11"/>
      <c r="D143" s="11"/>
      <c r="E143" s="11"/>
      <c r="F143" s="11"/>
      <c r="G143" s="11"/>
      <c r="H143" s="11"/>
      <c r="I143" s="11"/>
    </row>
    <row r="144" spans="1:9" x14ac:dyDescent="0.3">
      <c r="A144" s="11"/>
      <c r="B144" s="11"/>
      <c r="C144" s="11"/>
      <c r="D144" s="11"/>
      <c r="E144" s="11"/>
      <c r="F144" s="11"/>
      <c r="G144" s="11"/>
      <c r="H144" s="11"/>
      <c r="I144" s="11"/>
    </row>
    <row r="145" spans="1:9" x14ac:dyDescent="0.3">
      <c r="A145" s="11"/>
      <c r="B145" s="11"/>
      <c r="C145" s="11"/>
      <c r="D145" s="11"/>
      <c r="E145" s="11"/>
      <c r="F145" s="11"/>
      <c r="G145" s="11"/>
      <c r="H145" s="11"/>
      <c r="I145" s="11"/>
    </row>
    <row r="146" spans="1:9" x14ac:dyDescent="0.3">
      <c r="A146" s="11"/>
      <c r="B146" s="11"/>
      <c r="C146" s="11"/>
      <c r="D146" s="11"/>
      <c r="E146" s="11"/>
      <c r="F146" s="11"/>
      <c r="G146" s="11"/>
      <c r="H146" s="11"/>
      <c r="I146" s="11"/>
    </row>
    <row r="147" spans="1:9" x14ac:dyDescent="0.3">
      <c r="A147" s="11"/>
      <c r="B147" s="11"/>
      <c r="C147" s="11"/>
      <c r="D147" s="11"/>
      <c r="E147" s="11"/>
      <c r="F147" s="11"/>
      <c r="G147" s="11"/>
      <c r="H147" s="11"/>
      <c r="I147" s="11"/>
    </row>
    <row r="148" spans="1:9" x14ac:dyDescent="0.3">
      <c r="A148" s="11"/>
      <c r="B148" s="11"/>
      <c r="C148" s="11"/>
      <c r="D148" s="11"/>
      <c r="E148" s="11"/>
      <c r="F148" s="11"/>
      <c r="G148" s="11"/>
      <c r="H148" s="11"/>
      <c r="I148" s="11"/>
    </row>
    <row r="149" spans="1:9" x14ac:dyDescent="0.3">
      <c r="A149" s="11"/>
      <c r="B149" s="11"/>
      <c r="C149" s="11"/>
      <c r="D149" s="11"/>
      <c r="E149" s="11"/>
      <c r="F149" s="11"/>
      <c r="G149" s="11"/>
      <c r="H149" s="11"/>
      <c r="I149" s="11"/>
    </row>
    <row r="150" spans="1:9" x14ac:dyDescent="0.3">
      <c r="A150" s="11"/>
      <c r="B150" s="11"/>
      <c r="C150" s="11"/>
      <c r="D150" s="11"/>
      <c r="E150" s="11"/>
      <c r="F150" s="11"/>
      <c r="G150" s="11"/>
      <c r="H150" s="11"/>
      <c r="I150" s="11"/>
    </row>
    <row r="151" spans="1:9" x14ac:dyDescent="0.3">
      <c r="A151" s="11"/>
      <c r="B151" s="11"/>
      <c r="C151" s="11"/>
      <c r="D151" s="11"/>
      <c r="E151" s="11"/>
      <c r="F151" s="11"/>
      <c r="G151" s="11"/>
      <c r="H151" s="11"/>
      <c r="I151" s="11"/>
    </row>
    <row r="152" spans="1:9" x14ac:dyDescent="0.3">
      <c r="A152" s="11"/>
      <c r="B152" s="11"/>
      <c r="C152" s="11"/>
      <c r="D152" s="11"/>
      <c r="E152" s="11"/>
      <c r="F152" s="11"/>
      <c r="G152" s="11"/>
      <c r="H152" s="11"/>
      <c r="I152" s="11"/>
    </row>
    <row r="153" spans="1:9" x14ac:dyDescent="0.3">
      <c r="A153" s="11"/>
      <c r="B153" s="11"/>
      <c r="C153" s="11"/>
      <c r="D153" s="11"/>
      <c r="E153" s="11"/>
      <c r="F153" s="11"/>
      <c r="G153" s="11"/>
      <c r="H153" s="11"/>
      <c r="I153" s="11"/>
    </row>
    <row r="154" spans="1:9" x14ac:dyDescent="0.3">
      <c r="A154" s="11"/>
      <c r="B154" s="11"/>
      <c r="C154" s="11"/>
      <c r="D154" s="11"/>
      <c r="E154" s="11"/>
      <c r="F154" s="11"/>
      <c r="G154" s="11"/>
      <c r="H154" s="11"/>
      <c r="I154" s="11"/>
    </row>
    <row r="155" spans="1:9" x14ac:dyDescent="0.3">
      <c r="A155" s="11"/>
      <c r="B155" s="11"/>
      <c r="C155" s="11"/>
      <c r="D155" s="11"/>
      <c r="E155" s="11"/>
      <c r="F155" s="11"/>
      <c r="G155" s="11"/>
      <c r="H155" s="11"/>
      <c r="I155" s="11"/>
    </row>
    <row r="156" spans="1:9" x14ac:dyDescent="0.3">
      <c r="A156" s="11"/>
      <c r="B156" s="11"/>
      <c r="C156" s="11"/>
      <c r="D156" s="11"/>
      <c r="E156" s="11"/>
      <c r="F156" s="11"/>
      <c r="G156" s="11"/>
      <c r="H156" s="11"/>
      <c r="I156" s="11"/>
    </row>
    <row r="157" spans="1:9" x14ac:dyDescent="0.3">
      <c r="A157" s="11"/>
      <c r="B157" s="11"/>
      <c r="C157" s="11"/>
      <c r="D157" s="11"/>
      <c r="E157" s="11"/>
      <c r="F157" s="11"/>
      <c r="G157" s="11"/>
      <c r="H157" s="11"/>
      <c r="I157" s="11"/>
    </row>
    <row r="158" spans="1:9" x14ac:dyDescent="0.3">
      <c r="A158" s="11"/>
      <c r="B158" s="11"/>
      <c r="C158" s="11"/>
      <c r="D158" s="11"/>
      <c r="E158" s="11"/>
      <c r="F158" s="11"/>
      <c r="G158" s="11"/>
      <c r="H158" s="11"/>
      <c r="I158" s="11"/>
    </row>
    <row r="159" spans="1:9" x14ac:dyDescent="0.3">
      <c r="A159" s="11"/>
      <c r="B159" s="11"/>
      <c r="C159" s="11"/>
      <c r="D159" s="11"/>
      <c r="E159" s="11"/>
      <c r="F159" s="11"/>
      <c r="G159" s="11"/>
      <c r="H159" s="11"/>
      <c r="I159" s="11"/>
    </row>
    <row r="160" spans="1:9" x14ac:dyDescent="0.3">
      <c r="A160" s="11"/>
      <c r="B160" s="11"/>
      <c r="C160" s="11"/>
      <c r="D160" s="11"/>
      <c r="E160" s="11"/>
      <c r="F160" s="11"/>
      <c r="G160" s="11"/>
      <c r="H160" s="11"/>
      <c r="I160" s="11"/>
    </row>
    <row r="161" spans="1:9" x14ac:dyDescent="0.3">
      <c r="A161" s="11"/>
      <c r="B161" s="11"/>
      <c r="C161" s="11"/>
      <c r="D161" s="11"/>
      <c r="E161" s="11"/>
      <c r="F161" s="11"/>
      <c r="G161" s="11"/>
      <c r="H161" s="11"/>
      <c r="I161" s="11"/>
    </row>
    <row r="162" spans="1:9" x14ac:dyDescent="0.3">
      <c r="A162" s="11"/>
      <c r="B162" s="11"/>
      <c r="C162" s="11"/>
      <c r="D162" s="11"/>
      <c r="E162" s="11"/>
      <c r="F162" s="11"/>
      <c r="G162" s="11"/>
      <c r="H162" s="11"/>
      <c r="I162" s="11"/>
    </row>
    <row r="163" spans="1:9" x14ac:dyDescent="0.3">
      <c r="A163" s="11"/>
      <c r="B163" s="11"/>
      <c r="C163" s="11"/>
      <c r="D163" s="11"/>
      <c r="E163" s="11"/>
      <c r="F163" s="11"/>
      <c r="G163" s="11"/>
      <c r="H163" s="11"/>
      <c r="I163" s="11"/>
    </row>
    <row r="164" spans="1:9" x14ac:dyDescent="0.3">
      <c r="A164" s="11"/>
      <c r="B164" s="11"/>
      <c r="C164" s="11"/>
      <c r="D164" s="11"/>
      <c r="E164" s="11"/>
      <c r="F164" s="11"/>
      <c r="G164" s="11"/>
      <c r="H164" s="11"/>
      <c r="I164" s="11"/>
    </row>
    <row r="165" spans="1:9" x14ac:dyDescent="0.3">
      <c r="A165" s="11"/>
      <c r="B165" s="11"/>
      <c r="C165" s="11"/>
      <c r="D165" s="11"/>
      <c r="E165" s="11"/>
      <c r="F165" s="11"/>
      <c r="G165" s="11"/>
      <c r="H165" s="11"/>
      <c r="I165" s="11"/>
    </row>
    <row r="166" spans="1:9" x14ac:dyDescent="0.3">
      <c r="A166" s="11"/>
      <c r="B166" s="11"/>
      <c r="C166" s="11"/>
      <c r="D166" s="11"/>
      <c r="E166" s="11"/>
      <c r="F166" s="11"/>
      <c r="G166" s="11"/>
      <c r="H166" s="11"/>
      <c r="I166" s="11"/>
    </row>
    <row r="167" spans="1:9" x14ac:dyDescent="0.3">
      <c r="A167" s="11"/>
      <c r="B167" s="11"/>
      <c r="C167" s="11"/>
      <c r="D167" s="11"/>
      <c r="E167" s="11"/>
      <c r="F167" s="11"/>
      <c r="G167" s="11"/>
      <c r="H167" s="11"/>
      <c r="I167" s="11"/>
    </row>
    <row r="168" spans="1:9" x14ac:dyDescent="0.3">
      <c r="A168" s="11"/>
      <c r="B168" s="11"/>
      <c r="C168" s="11"/>
      <c r="D168" s="11"/>
      <c r="E168" s="11"/>
      <c r="F168" s="11"/>
      <c r="G168" s="11"/>
      <c r="H168" s="11"/>
      <c r="I168" s="11"/>
    </row>
    <row r="169" spans="1:9" x14ac:dyDescent="0.3">
      <c r="A169" s="11"/>
      <c r="B169" s="11"/>
      <c r="C169" s="11"/>
      <c r="D169" s="11"/>
      <c r="E169" s="11"/>
      <c r="F169" s="11"/>
      <c r="G169" s="11"/>
      <c r="H169" s="11"/>
      <c r="I169" s="11"/>
    </row>
    <row r="170" spans="1:9" x14ac:dyDescent="0.3">
      <c r="A170" s="11"/>
      <c r="B170" s="11"/>
      <c r="C170" s="11"/>
      <c r="D170" s="11"/>
      <c r="E170" s="11"/>
      <c r="F170" s="11"/>
      <c r="G170" s="11"/>
      <c r="H170" s="11"/>
      <c r="I170" s="11"/>
    </row>
    <row r="171" spans="1:9" x14ac:dyDescent="0.3">
      <c r="A171" s="11"/>
      <c r="B171" s="11"/>
      <c r="C171" s="11"/>
      <c r="D171" s="11"/>
      <c r="E171" s="11"/>
      <c r="F171" s="11"/>
      <c r="G171" s="11"/>
      <c r="H171" s="11"/>
      <c r="I171" s="11"/>
    </row>
    <row r="172" spans="1:9" x14ac:dyDescent="0.3">
      <c r="A172" s="11"/>
      <c r="B172" s="11"/>
      <c r="C172" s="11"/>
      <c r="D172" s="11"/>
      <c r="E172" s="11"/>
      <c r="F172" s="11"/>
      <c r="G172" s="11"/>
      <c r="H172" s="11"/>
      <c r="I172" s="11"/>
    </row>
    <row r="173" spans="1:9" x14ac:dyDescent="0.3">
      <c r="A173" s="11"/>
      <c r="B173" s="11"/>
      <c r="C173" s="11"/>
      <c r="D173" s="11"/>
      <c r="E173" s="11"/>
      <c r="F173" s="11"/>
      <c r="G173" s="11"/>
      <c r="H173" s="11"/>
      <c r="I173" s="11"/>
    </row>
    <row r="174" spans="1:9" x14ac:dyDescent="0.3">
      <c r="A174" s="11"/>
      <c r="B174" s="11"/>
      <c r="C174" s="11"/>
      <c r="D174" s="11"/>
      <c r="E174" s="11"/>
      <c r="F174" s="11"/>
      <c r="G174" s="11"/>
      <c r="H174" s="11"/>
      <c r="I174" s="11"/>
    </row>
    <row r="175" spans="1:9" x14ac:dyDescent="0.3">
      <c r="A175" s="11"/>
      <c r="B175" s="11"/>
      <c r="C175" s="11"/>
      <c r="D175" s="11"/>
      <c r="E175" s="11"/>
      <c r="F175" s="11"/>
      <c r="G175" s="11"/>
      <c r="H175" s="11"/>
      <c r="I175" s="11"/>
    </row>
    <row r="176" spans="1:9" x14ac:dyDescent="0.3">
      <c r="A176" s="11"/>
      <c r="B176" s="11"/>
      <c r="C176" s="11"/>
      <c r="D176" s="11"/>
      <c r="E176" s="11"/>
      <c r="F176" s="11"/>
      <c r="G176" s="11"/>
      <c r="H176" s="11"/>
      <c r="I176" s="11"/>
    </row>
    <row r="177" spans="1:9" x14ac:dyDescent="0.3">
      <c r="A177" s="11"/>
      <c r="B177" s="11"/>
      <c r="C177" s="11"/>
      <c r="D177" s="11"/>
      <c r="E177" s="11"/>
      <c r="F177" s="11"/>
      <c r="G177" s="11"/>
      <c r="H177" s="11"/>
      <c r="I177" s="11"/>
    </row>
    <row r="178" spans="1:9" x14ac:dyDescent="0.3">
      <c r="A178" s="11"/>
      <c r="B178" s="11"/>
      <c r="C178" s="11"/>
      <c r="D178" s="11"/>
      <c r="E178" s="11"/>
      <c r="F178" s="11"/>
      <c r="G178" s="11"/>
      <c r="H178" s="11"/>
      <c r="I178" s="11"/>
    </row>
    <row r="179" spans="1:9" x14ac:dyDescent="0.3">
      <c r="A179" s="11"/>
      <c r="B179" s="11"/>
      <c r="C179" s="11"/>
      <c r="D179" s="11"/>
      <c r="E179" s="11"/>
      <c r="F179" s="11"/>
      <c r="G179" s="11"/>
      <c r="H179" s="11"/>
      <c r="I179" s="11"/>
    </row>
    <row r="180" spans="1:9" x14ac:dyDescent="0.3">
      <c r="A180" s="11"/>
      <c r="B180" s="11"/>
      <c r="C180" s="11"/>
      <c r="D180" s="11"/>
      <c r="E180" s="11"/>
      <c r="F180" s="11"/>
      <c r="G180" s="11"/>
      <c r="H180" s="11"/>
      <c r="I180" s="11"/>
    </row>
    <row r="181" spans="1:9" x14ac:dyDescent="0.3">
      <c r="A181" s="11"/>
      <c r="B181" s="11"/>
      <c r="C181" s="11"/>
      <c r="D181" s="11"/>
      <c r="E181" s="11"/>
      <c r="F181" s="11"/>
      <c r="G181" s="11"/>
      <c r="H181" s="11"/>
      <c r="I181" s="11"/>
    </row>
    <row r="182" spans="1:9" x14ac:dyDescent="0.3">
      <c r="A182" s="11"/>
      <c r="B182" s="11"/>
      <c r="C182" s="11"/>
      <c r="D182" s="11"/>
      <c r="E182" s="11"/>
      <c r="F182" s="11"/>
      <c r="G182" s="11"/>
      <c r="H182" s="11"/>
      <c r="I182" s="11"/>
    </row>
    <row r="183" spans="1:9" x14ac:dyDescent="0.3">
      <c r="A183" s="11"/>
      <c r="B183" s="11"/>
      <c r="C183" s="11"/>
      <c r="D183" s="11"/>
      <c r="E183" s="11"/>
      <c r="F183" s="11"/>
      <c r="G183" s="11"/>
      <c r="H183" s="11"/>
      <c r="I183" s="11"/>
    </row>
    <row r="184" spans="1:9" x14ac:dyDescent="0.3">
      <c r="A184" s="11"/>
      <c r="B184" s="11"/>
      <c r="C184" s="11"/>
      <c r="D184" s="11"/>
      <c r="E184" s="11"/>
      <c r="F184" s="11"/>
      <c r="G184" s="11"/>
      <c r="H184" s="11"/>
      <c r="I184" s="11"/>
    </row>
    <row r="185" spans="1:9" x14ac:dyDescent="0.3">
      <c r="A185" s="11"/>
      <c r="B185" s="11"/>
      <c r="C185" s="11"/>
      <c r="D185" s="11"/>
      <c r="E185" s="11"/>
      <c r="F185" s="11"/>
      <c r="G185" s="11"/>
      <c r="H185" s="11"/>
      <c r="I185" s="11"/>
    </row>
    <row r="186" spans="1:9" x14ac:dyDescent="0.3">
      <c r="A186" s="11"/>
      <c r="B186" s="11"/>
      <c r="C186" s="11"/>
      <c r="D186" s="11"/>
      <c r="E186" s="11"/>
      <c r="F186" s="11"/>
      <c r="G186" s="11"/>
      <c r="H186" s="11"/>
      <c r="I186" s="11"/>
    </row>
    <row r="187" spans="1:9" x14ac:dyDescent="0.3">
      <c r="A187" s="11"/>
      <c r="B187" s="11"/>
      <c r="C187" s="11"/>
      <c r="D187" s="11"/>
      <c r="E187" s="11"/>
      <c r="F187" s="11"/>
      <c r="G187" s="11"/>
      <c r="H187" s="11"/>
      <c r="I187" s="11"/>
    </row>
    <row r="188" spans="1:9" x14ac:dyDescent="0.3">
      <c r="A188" s="11"/>
      <c r="B188" s="11"/>
      <c r="C188" s="11"/>
      <c r="D188" s="11"/>
      <c r="E188" s="11"/>
      <c r="F188" s="11"/>
      <c r="G188" s="11"/>
      <c r="H188" s="11"/>
      <c r="I188" s="11"/>
    </row>
    <row r="189" spans="1:9" x14ac:dyDescent="0.3">
      <c r="A189" s="11"/>
      <c r="B189" s="11"/>
      <c r="C189" s="11"/>
      <c r="D189" s="11"/>
      <c r="E189" s="11"/>
      <c r="F189" s="11"/>
      <c r="G189" s="11"/>
      <c r="H189" s="11"/>
      <c r="I189" s="11"/>
    </row>
    <row r="190" spans="1:9" x14ac:dyDescent="0.3">
      <c r="A190" s="11"/>
      <c r="B190" s="11"/>
      <c r="C190" s="11"/>
      <c r="D190" s="11"/>
      <c r="E190" s="11"/>
      <c r="F190" s="11"/>
      <c r="G190" s="11"/>
      <c r="H190" s="11"/>
      <c r="I190" s="11"/>
    </row>
    <row r="191" spans="1:9" x14ac:dyDescent="0.3">
      <c r="A191" s="11"/>
      <c r="B191" s="11"/>
      <c r="C191" s="11"/>
      <c r="D191" s="11"/>
      <c r="E191" s="11"/>
      <c r="F191" s="11"/>
      <c r="G191" s="11"/>
      <c r="H191" s="11"/>
      <c r="I191" s="11"/>
    </row>
    <row r="192" spans="1:9" x14ac:dyDescent="0.3">
      <c r="A192" s="11"/>
      <c r="B192" s="11"/>
      <c r="C192" s="11"/>
      <c r="D192" s="11"/>
      <c r="E192" s="11"/>
      <c r="F192" s="11"/>
      <c r="G192" s="11"/>
      <c r="H192" s="11"/>
      <c r="I192" s="11"/>
    </row>
    <row r="193" spans="1:9" x14ac:dyDescent="0.3">
      <c r="A193" s="11"/>
      <c r="B193" s="11"/>
      <c r="C193" s="11"/>
      <c r="D193" s="11"/>
      <c r="E193" s="11"/>
      <c r="F193" s="11"/>
      <c r="G193" s="11"/>
      <c r="H193" s="11"/>
      <c r="I193" s="11"/>
    </row>
    <row r="194" spans="1:9" x14ac:dyDescent="0.3">
      <c r="A194" s="11"/>
      <c r="B194" s="11"/>
      <c r="C194" s="11"/>
      <c r="D194" s="11"/>
      <c r="E194" s="11"/>
      <c r="F194" s="11"/>
      <c r="G194" s="11"/>
      <c r="H194" s="11"/>
      <c r="I194" s="11"/>
    </row>
    <row r="195" spans="1:9" x14ac:dyDescent="0.3">
      <c r="A195" s="11"/>
      <c r="B195" s="11"/>
      <c r="C195" s="11"/>
      <c r="D195" s="11"/>
      <c r="E195" s="11"/>
      <c r="F195" s="11"/>
      <c r="G195" s="11"/>
      <c r="H195" s="11"/>
      <c r="I195" s="11"/>
    </row>
    <row r="196" spans="1:9" x14ac:dyDescent="0.3">
      <c r="A196" s="11"/>
      <c r="B196" s="11"/>
      <c r="C196" s="11"/>
      <c r="D196" s="11"/>
      <c r="E196" s="11"/>
      <c r="F196" s="11"/>
      <c r="G196" s="11"/>
      <c r="H196" s="11"/>
      <c r="I196" s="11"/>
    </row>
    <row r="197" spans="1:9" x14ac:dyDescent="0.3">
      <c r="A197" s="11"/>
      <c r="B197" s="11"/>
      <c r="C197" s="11"/>
      <c r="D197" s="11"/>
      <c r="E197" s="11"/>
      <c r="F197" s="11"/>
      <c r="G197" s="11"/>
      <c r="H197" s="11"/>
      <c r="I197" s="11"/>
    </row>
    <row r="198" spans="1:9" x14ac:dyDescent="0.3">
      <c r="A198" s="11"/>
      <c r="B198" s="11"/>
      <c r="C198" s="11"/>
      <c r="D198" s="11"/>
      <c r="E198" s="11"/>
      <c r="F198" s="11"/>
      <c r="G198" s="11"/>
      <c r="H198" s="11"/>
      <c r="I198" s="11"/>
    </row>
    <row r="199" spans="1:9" x14ac:dyDescent="0.3">
      <c r="A199" s="11"/>
      <c r="B199" s="11"/>
      <c r="C199" s="11"/>
      <c r="D199" s="11"/>
      <c r="E199" s="11"/>
      <c r="F199" s="11"/>
      <c r="G199" s="11"/>
      <c r="H199" s="11"/>
      <c r="I199" s="11"/>
    </row>
    <row r="200" spans="1:9" x14ac:dyDescent="0.3">
      <c r="A200" s="11"/>
      <c r="B200" s="11"/>
      <c r="C200" s="11"/>
      <c r="D200" s="11"/>
      <c r="E200" s="11"/>
      <c r="F200" s="11"/>
      <c r="G200" s="11"/>
      <c r="H200" s="11"/>
      <c r="I200" s="11"/>
    </row>
    <row r="201" spans="1:9" x14ac:dyDescent="0.3">
      <c r="A201" s="11"/>
      <c r="B201" s="11"/>
      <c r="C201" s="11"/>
      <c r="D201" s="11"/>
      <c r="E201" s="11"/>
      <c r="F201" s="11"/>
      <c r="G201" s="11"/>
      <c r="H201" s="11"/>
      <c r="I201" s="11"/>
    </row>
    <row r="202" spans="1:9" x14ac:dyDescent="0.3">
      <c r="A202" s="11"/>
      <c r="B202" s="11"/>
      <c r="C202" s="11"/>
      <c r="D202" s="11"/>
      <c r="E202" s="11"/>
      <c r="F202" s="11"/>
      <c r="G202" s="11"/>
      <c r="H202" s="11"/>
      <c r="I202" s="11"/>
    </row>
    <row r="203" spans="1:9" x14ac:dyDescent="0.3">
      <c r="A203" s="11"/>
      <c r="B203" s="11"/>
      <c r="C203" s="11"/>
      <c r="D203" s="11"/>
      <c r="E203" s="11"/>
      <c r="F203" s="11"/>
      <c r="G203" s="11"/>
      <c r="H203" s="11"/>
      <c r="I203" s="11"/>
    </row>
    <row r="204" spans="1:9" x14ac:dyDescent="0.3">
      <c r="A204" s="11"/>
      <c r="B204" s="11"/>
      <c r="C204" s="11"/>
      <c r="D204" s="11"/>
      <c r="E204" s="11"/>
      <c r="F204" s="11"/>
      <c r="G204" s="11"/>
      <c r="H204" s="11"/>
      <c r="I204" s="11"/>
    </row>
    <row r="205" spans="1:9" x14ac:dyDescent="0.3">
      <c r="A205" s="11"/>
      <c r="B205" s="11"/>
      <c r="C205" s="11"/>
      <c r="D205" s="11"/>
      <c r="E205" s="11"/>
      <c r="F205" s="11"/>
      <c r="G205" s="11"/>
      <c r="H205" s="11"/>
      <c r="I205" s="11"/>
    </row>
    <row r="206" spans="1:9" x14ac:dyDescent="0.3">
      <c r="A206" s="11"/>
      <c r="B206" s="11"/>
      <c r="C206" s="11"/>
      <c r="D206" s="11"/>
      <c r="E206" s="11"/>
      <c r="F206" s="11"/>
      <c r="G206" s="11"/>
      <c r="H206" s="11"/>
      <c r="I206" s="11"/>
    </row>
    <row r="207" spans="1:9" x14ac:dyDescent="0.3">
      <c r="A207" s="11"/>
      <c r="B207" s="11"/>
      <c r="C207" s="11"/>
      <c r="D207" s="11"/>
      <c r="E207" s="11"/>
      <c r="F207" s="11"/>
      <c r="G207" s="11"/>
      <c r="H207" s="11"/>
      <c r="I207" s="11"/>
    </row>
    <row r="208" spans="1:9" x14ac:dyDescent="0.3">
      <c r="A208" s="11"/>
      <c r="B208" s="11"/>
      <c r="C208" s="11"/>
      <c r="D208" s="11"/>
      <c r="E208" s="11"/>
      <c r="F208" s="11"/>
      <c r="G208" s="11"/>
      <c r="H208" s="11"/>
      <c r="I208" s="11"/>
    </row>
    <row r="209" spans="1:9" x14ac:dyDescent="0.3">
      <c r="A209" s="11"/>
      <c r="B209" s="11"/>
      <c r="C209" s="11"/>
      <c r="D209" s="11"/>
      <c r="E209" s="11"/>
      <c r="F209" s="11"/>
      <c r="G209" s="11"/>
      <c r="H209" s="11"/>
      <c r="I209" s="11"/>
    </row>
    <row r="210" spans="1:9" x14ac:dyDescent="0.3">
      <c r="A210" s="11"/>
      <c r="B210" s="11"/>
      <c r="C210" s="11"/>
      <c r="D210" s="11"/>
      <c r="E210" s="11"/>
      <c r="F210" s="11"/>
      <c r="G210" s="11"/>
      <c r="H210" s="11"/>
      <c r="I210" s="11"/>
    </row>
    <row r="211" spans="1:9" x14ac:dyDescent="0.3">
      <c r="A211" s="11"/>
      <c r="B211" s="11"/>
      <c r="C211" s="11"/>
      <c r="D211" s="11"/>
      <c r="E211" s="11"/>
      <c r="F211" s="11"/>
      <c r="G211" s="11"/>
      <c r="H211" s="11"/>
      <c r="I211" s="11"/>
    </row>
    <row r="212" spans="1:9" x14ac:dyDescent="0.3">
      <c r="A212" s="11"/>
      <c r="B212" s="11"/>
      <c r="C212" s="11"/>
      <c r="D212" s="11"/>
      <c r="E212" s="11"/>
      <c r="F212" s="11"/>
      <c r="G212" s="11"/>
      <c r="H212" s="11"/>
      <c r="I212" s="11"/>
    </row>
    <row r="213" spans="1:9" x14ac:dyDescent="0.3">
      <c r="A213" s="11"/>
      <c r="B213" s="11"/>
      <c r="C213" s="11"/>
      <c r="D213" s="11"/>
      <c r="E213" s="11"/>
      <c r="F213" s="11"/>
      <c r="G213" s="11"/>
      <c r="H213" s="11"/>
      <c r="I213" s="11"/>
    </row>
    <row r="214" spans="1:9" x14ac:dyDescent="0.3">
      <c r="A214" s="11"/>
      <c r="B214" s="11"/>
      <c r="C214" s="11"/>
      <c r="D214" s="11"/>
      <c r="E214" s="11"/>
      <c r="F214" s="11"/>
      <c r="G214" s="11"/>
      <c r="H214" s="11"/>
      <c r="I214" s="11"/>
    </row>
    <row r="215" spans="1:9" x14ac:dyDescent="0.3">
      <c r="A215" s="11"/>
      <c r="B215" s="11"/>
      <c r="C215" s="11"/>
      <c r="D215" s="11"/>
      <c r="E215" s="11"/>
      <c r="F215" s="11"/>
      <c r="G215" s="11"/>
      <c r="H215" s="11"/>
      <c r="I215" s="11"/>
    </row>
    <row r="216" spans="1:9" x14ac:dyDescent="0.3">
      <c r="A216" s="11"/>
      <c r="B216" s="11"/>
      <c r="C216" s="11"/>
      <c r="D216" s="11"/>
      <c r="E216" s="11"/>
      <c r="F216" s="11"/>
      <c r="G216" s="11"/>
      <c r="H216" s="11"/>
      <c r="I216" s="11"/>
    </row>
    <row r="217" spans="1:9" x14ac:dyDescent="0.3">
      <c r="A217" s="11"/>
      <c r="B217" s="11"/>
      <c r="C217" s="11"/>
      <c r="D217" s="11"/>
      <c r="E217" s="11"/>
      <c r="F217" s="11"/>
      <c r="G217" s="11"/>
      <c r="H217" s="11"/>
      <c r="I217" s="11"/>
    </row>
    <row r="218" spans="1:9" x14ac:dyDescent="0.3">
      <c r="A218" s="11"/>
      <c r="B218" s="11"/>
      <c r="C218" s="11"/>
      <c r="D218" s="11"/>
      <c r="E218" s="11"/>
      <c r="F218" s="11"/>
      <c r="G218" s="11"/>
      <c r="H218" s="11"/>
      <c r="I218" s="11"/>
    </row>
    <row r="219" spans="1:9" x14ac:dyDescent="0.3">
      <c r="A219" s="11"/>
      <c r="B219" s="11"/>
      <c r="C219" s="11"/>
      <c r="D219" s="11"/>
      <c r="E219" s="11"/>
      <c r="F219" s="11"/>
      <c r="G219" s="11"/>
      <c r="H219" s="11"/>
      <c r="I219" s="11"/>
    </row>
    <row r="220" spans="1:9" x14ac:dyDescent="0.3">
      <c r="A220" s="11"/>
      <c r="B220" s="11"/>
      <c r="C220" s="11"/>
      <c r="D220" s="11"/>
      <c r="E220" s="11"/>
      <c r="F220" s="11"/>
      <c r="G220" s="11"/>
      <c r="H220" s="11"/>
      <c r="I220" s="11"/>
    </row>
    <row r="221" spans="1:9" x14ac:dyDescent="0.3">
      <c r="A221" s="11"/>
      <c r="B221" s="11"/>
      <c r="C221" s="11"/>
      <c r="D221" s="11"/>
      <c r="E221" s="11"/>
      <c r="F221" s="11"/>
      <c r="G221" s="11"/>
      <c r="H221" s="11"/>
      <c r="I221" s="11"/>
    </row>
    <row r="222" spans="1:9" x14ac:dyDescent="0.3">
      <c r="A222" s="11"/>
      <c r="B222" s="11"/>
      <c r="C222" s="11"/>
      <c r="D222" s="11"/>
      <c r="E222" s="11"/>
      <c r="F222" s="11"/>
      <c r="G222" s="11"/>
      <c r="H222" s="11"/>
      <c r="I222" s="11"/>
    </row>
    <row r="223" spans="1:9" x14ac:dyDescent="0.3">
      <c r="A223" s="11"/>
      <c r="B223" s="11"/>
      <c r="C223" s="11"/>
      <c r="D223" s="11"/>
      <c r="E223" s="11"/>
      <c r="F223" s="11"/>
      <c r="G223" s="11"/>
      <c r="H223" s="11"/>
      <c r="I223" s="11"/>
    </row>
    <row r="224" spans="1:9" x14ac:dyDescent="0.3">
      <c r="A224" s="11"/>
      <c r="B224" s="11"/>
      <c r="C224" s="11"/>
      <c r="D224" s="11"/>
      <c r="E224" s="11"/>
      <c r="F224" s="11"/>
      <c r="G224" s="11"/>
      <c r="H224" s="11"/>
      <c r="I224" s="11"/>
    </row>
    <row r="225" spans="1:9" x14ac:dyDescent="0.3">
      <c r="A225" s="11"/>
      <c r="B225" s="11"/>
      <c r="C225" s="11"/>
      <c r="D225" s="11"/>
      <c r="E225" s="11"/>
      <c r="F225" s="11"/>
      <c r="G225" s="11"/>
      <c r="H225" s="11"/>
      <c r="I225" s="11"/>
    </row>
    <row r="226" spans="1:9" x14ac:dyDescent="0.3">
      <c r="A226" s="11"/>
      <c r="B226" s="11"/>
      <c r="C226" s="11"/>
      <c r="D226" s="11"/>
      <c r="E226" s="11"/>
      <c r="F226" s="11"/>
      <c r="G226" s="11"/>
      <c r="H226" s="11"/>
      <c r="I226" s="11"/>
    </row>
    <row r="227" spans="1:9" x14ac:dyDescent="0.3">
      <c r="A227" s="11"/>
      <c r="B227" s="11"/>
      <c r="C227" s="11"/>
      <c r="D227" s="11"/>
      <c r="E227" s="11"/>
      <c r="F227" s="11"/>
      <c r="G227" s="11"/>
      <c r="H227" s="11"/>
      <c r="I227" s="11"/>
    </row>
    <row r="228" spans="1:9" x14ac:dyDescent="0.3">
      <c r="A228" s="11"/>
      <c r="B228" s="11"/>
      <c r="C228" s="11"/>
      <c r="D228" s="11"/>
      <c r="E228" s="11"/>
      <c r="F228" s="11"/>
      <c r="G228" s="11"/>
      <c r="H228" s="11"/>
      <c r="I228" s="11"/>
    </row>
    <row r="229" spans="1:9" x14ac:dyDescent="0.3">
      <c r="A229" s="11"/>
      <c r="B229" s="11"/>
      <c r="C229" s="11"/>
      <c r="D229" s="11"/>
      <c r="E229" s="11"/>
      <c r="F229" s="11"/>
      <c r="G229" s="11"/>
      <c r="H229" s="11"/>
      <c r="I229" s="11"/>
    </row>
    <row r="230" spans="1:9" x14ac:dyDescent="0.3">
      <c r="A230" s="11"/>
      <c r="B230" s="11"/>
      <c r="C230" s="11"/>
      <c r="D230" s="11"/>
      <c r="E230" s="11"/>
      <c r="F230" s="11"/>
      <c r="G230" s="11"/>
      <c r="H230" s="11"/>
      <c r="I230" s="11"/>
    </row>
    <row r="231" spans="1:9" x14ac:dyDescent="0.3">
      <c r="A231" s="11"/>
      <c r="B231" s="11"/>
      <c r="C231" s="11"/>
      <c r="D231" s="11"/>
      <c r="E231" s="11"/>
      <c r="F231" s="11"/>
      <c r="G231" s="11"/>
      <c r="H231" s="11"/>
      <c r="I231" s="11"/>
    </row>
    <row r="232" spans="1:9" x14ac:dyDescent="0.3">
      <c r="A232" s="11"/>
      <c r="B232" s="11"/>
      <c r="C232" s="11"/>
      <c r="D232" s="11"/>
      <c r="E232" s="11"/>
      <c r="F232" s="11"/>
      <c r="G232" s="11"/>
      <c r="H232" s="11"/>
      <c r="I232" s="11"/>
    </row>
    <row r="233" spans="1:9" x14ac:dyDescent="0.3">
      <c r="A233" s="11"/>
      <c r="B233" s="11"/>
      <c r="C233" s="11"/>
      <c r="D233" s="11"/>
      <c r="E233" s="11"/>
      <c r="F233" s="11"/>
      <c r="G233" s="11"/>
      <c r="H233" s="11"/>
      <c r="I233" s="11"/>
    </row>
    <row r="234" spans="1:9" x14ac:dyDescent="0.3">
      <c r="A234" s="11"/>
      <c r="B234" s="11"/>
      <c r="C234" s="11"/>
      <c r="D234" s="11"/>
      <c r="E234" s="11"/>
      <c r="F234" s="11"/>
      <c r="G234" s="11"/>
      <c r="H234" s="11"/>
      <c r="I234" s="11"/>
    </row>
    <row r="235" spans="1:9" x14ac:dyDescent="0.3">
      <c r="A235" s="11"/>
      <c r="B235" s="11"/>
      <c r="C235" s="11"/>
      <c r="D235" s="11"/>
      <c r="E235" s="11"/>
      <c r="F235" s="11"/>
      <c r="G235" s="11"/>
      <c r="H235" s="11"/>
      <c r="I235" s="11"/>
    </row>
    <row r="236" spans="1:9" x14ac:dyDescent="0.3">
      <c r="A236" s="11"/>
      <c r="B236" s="11"/>
      <c r="C236" s="11"/>
      <c r="D236" s="11"/>
      <c r="E236" s="11"/>
      <c r="F236" s="11"/>
      <c r="G236" s="11"/>
      <c r="H236" s="11"/>
      <c r="I236" s="11"/>
    </row>
    <row r="237" spans="1:9" x14ac:dyDescent="0.3">
      <c r="A237" s="11"/>
      <c r="B237" s="11"/>
      <c r="C237" s="11"/>
      <c r="D237" s="11"/>
      <c r="E237" s="11"/>
      <c r="F237" s="11"/>
      <c r="G237" s="11"/>
      <c r="H237" s="11"/>
      <c r="I237" s="11"/>
    </row>
    <row r="238" spans="1:9" x14ac:dyDescent="0.3">
      <c r="A238" s="11"/>
      <c r="B238" s="11"/>
      <c r="C238" s="11"/>
      <c r="D238" s="11"/>
      <c r="E238" s="11"/>
      <c r="F238" s="11"/>
      <c r="G238" s="11"/>
      <c r="H238" s="11"/>
      <c r="I238" s="11"/>
    </row>
    <row r="239" spans="1:9" x14ac:dyDescent="0.3">
      <c r="A239" s="11"/>
      <c r="B239" s="11"/>
      <c r="C239" s="11"/>
      <c r="D239" s="11"/>
      <c r="E239" s="11"/>
      <c r="F239" s="11"/>
      <c r="G239" s="11"/>
      <c r="H239" s="11"/>
      <c r="I239" s="11"/>
    </row>
    <row r="240" spans="1:9" x14ac:dyDescent="0.3">
      <c r="A240" s="11"/>
      <c r="B240" s="11"/>
      <c r="C240" s="11"/>
      <c r="D240" s="11"/>
      <c r="E240" s="11"/>
      <c r="F240" s="11"/>
      <c r="G240" s="11"/>
      <c r="H240" s="11"/>
      <c r="I240" s="11"/>
    </row>
    <row r="241" spans="1:9" x14ac:dyDescent="0.3">
      <c r="A241" s="11"/>
      <c r="B241" s="11"/>
      <c r="C241" s="11"/>
      <c r="D241" s="11"/>
      <c r="E241" s="11"/>
      <c r="F241" s="11"/>
      <c r="G241" s="11"/>
      <c r="H241" s="11"/>
      <c r="I241" s="11"/>
    </row>
    <row r="242" spans="1:9" x14ac:dyDescent="0.3">
      <c r="A242" s="11"/>
      <c r="B242" s="11"/>
      <c r="C242" s="11"/>
      <c r="D242" s="11"/>
      <c r="E242" s="11"/>
      <c r="F242" s="11"/>
      <c r="G242" s="11"/>
      <c r="H242" s="11"/>
      <c r="I242" s="11"/>
    </row>
    <row r="243" spans="1:9" x14ac:dyDescent="0.3">
      <c r="A243" s="11"/>
      <c r="B243" s="11"/>
      <c r="C243" s="11"/>
      <c r="D243" s="11"/>
      <c r="E243" s="11"/>
      <c r="F243" s="11"/>
      <c r="G243" s="11"/>
      <c r="H243" s="11"/>
      <c r="I243" s="11"/>
    </row>
    <row r="244" spans="1:9" x14ac:dyDescent="0.3">
      <c r="A244" s="11"/>
      <c r="B244" s="11"/>
      <c r="C244" s="11"/>
      <c r="D244" s="11"/>
      <c r="E244" s="11"/>
      <c r="F244" s="11"/>
      <c r="G244" s="11"/>
      <c r="H244" s="11"/>
      <c r="I244" s="11"/>
    </row>
    <row r="245" spans="1:9" x14ac:dyDescent="0.3">
      <c r="A245" s="11"/>
      <c r="B245" s="11"/>
      <c r="C245" s="11"/>
      <c r="D245" s="11"/>
      <c r="E245" s="11"/>
      <c r="F245" s="11"/>
      <c r="G245" s="11"/>
      <c r="H245" s="11"/>
      <c r="I245" s="11"/>
    </row>
    <row r="246" spans="1:9" x14ac:dyDescent="0.3">
      <c r="A246" s="11"/>
      <c r="B246" s="11"/>
      <c r="C246" s="11"/>
      <c r="D246" s="11"/>
      <c r="E246" s="11"/>
      <c r="F246" s="11"/>
      <c r="G246" s="11"/>
      <c r="H246" s="11"/>
      <c r="I246" s="11"/>
    </row>
    <row r="247" spans="1:9" x14ac:dyDescent="0.3">
      <c r="A247" s="11"/>
      <c r="B247" s="11"/>
      <c r="C247" s="11"/>
      <c r="D247" s="11"/>
      <c r="E247" s="11"/>
      <c r="F247" s="11"/>
      <c r="G247" s="11"/>
      <c r="H247" s="11"/>
      <c r="I247" s="11"/>
    </row>
    <row r="248" spans="1:9" x14ac:dyDescent="0.3">
      <c r="A248" s="11"/>
      <c r="B248" s="11"/>
      <c r="C248" s="11"/>
      <c r="D248" s="11"/>
      <c r="E248" s="11"/>
      <c r="F248" s="11"/>
      <c r="G248" s="11"/>
      <c r="H248" s="11"/>
      <c r="I248" s="11"/>
    </row>
    <row r="249" spans="1:9" x14ac:dyDescent="0.3">
      <c r="A249" s="11"/>
      <c r="B249" s="11"/>
      <c r="C249" s="11"/>
      <c r="D249" s="11"/>
      <c r="E249" s="11"/>
      <c r="F249" s="11"/>
      <c r="G249" s="11"/>
      <c r="H249" s="11"/>
      <c r="I249" s="11"/>
    </row>
    <row r="250" spans="1:9" x14ac:dyDescent="0.3">
      <c r="A250" s="11"/>
      <c r="B250" s="11"/>
      <c r="C250" s="11"/>
      <c r="D250" s="11"/>
      <c r="E250" s="11"/>
      <c r="F250" s="11"/>
      <c r="G250" s="11"/>
      <c r="H250" s="11"/>
      <c r="I250" s="11"/>
    </row>
    <row r="251" spans="1:9" x14ac:dyDescent="0.3">
      <c r="A251" s="11"/>
      <c r="B251" s="11"/>
      <c r="C251" s="11"/>
      <c r="D251" s="11"/>
      <c r="E251" s="11"/>
      <c r="F251" s="11"/>
      <c r="G251" s="11"/>
      <c r="H251" s="11"/>
      <c r="I251" s="11"/>
    </row>
    <row r="252" spans="1:9" x14ac:dyDescent="0.3">
      <c r="A252" s="11"/>
      <c r="B252" s="11"/>
      <c r="C252" s="11"/>
      <c r="D252" s="11"/>
      <c r="E252" s="11"/>
      <c r="F252" s="11"/>
      <c r="G252" s="11"/>
      <c r="H252" s="11"/>
      <c r="I252" s="11"/>
    </row>
    <row r="253" spans="1:9" x14ac:dyDescent="0.3">
      <c r="A253" s="11"/>
      <c r="B253" s="11"/>
      <c r="C253" s="11"/>
      <c r="D253" s="11"/>
      <c r="E253" s="11"/>
      <c r="F253" s="11"/>
      <c r="G253" s="11"/>
      <c r="H253" s="11"/>
      <c r="I253" s="11"/>
    </row>
    <row r="254" spans="1:9" x14ac:dyDescent="0.3">
      <c r="A254" s="11"/>
      <c r="B254" s="11"/>
      <c r="C254" s="11"/>
      <c r="D254" s="11"/>
      <c r="E254" s="11"/>
      <c r="F254" s="11"/>
      <c r="G254" s="11"/>
      <c r="H254" s="11"/>
      <c r="I254" s="11"/>
    </row>
    <row r="255" spans="1:9" x14ac:dyDescent="0.3">
      <c r="A255" s="11"/>
      <c r="B255" s="11"/>
      <c r="C255" s="11"/>
      <c r="D255" s="11"/>
      <c r="E255" s="11"/>
      <c r="F255" s="11"/>
      <c r="G255" s="11"/>
      <c r="H255" s="11"/>
      <c r="I255" s="11"/>
    </row>
    <row r="256" spans="1:9" x14ac:dyDescent="0.3">
      <c r="A256" s="11"/>
      <c r="B256" s="11"/>
      <c r="C256" s="11"/>
      <c r="D256" s="11"/>
      <c r="E256" s="11"/>
      <c r="F256" s="11"/>
      <c r="G256" s="11"/>
      <c r="H256" s="11"/>
      <c r="I256" s="11"/>
    </row>
    <row r="257" spans="1:9" x14ac:dyDescent="0.3">
      <c r="A257" s="11"/>
      <c r="B257" s="11"/>
      <c r="C257" s="11"/>
      <c r="D257" s="11"/>
      <c r="E257" s="11"/>
      <c r="F257" s="11"/>
      <c r="G257" s="11"/>
      <c r="H257" s="11"/>
      <c r="I257" s="11"/>
    </row>
    <row r="258" spans="1:9" x14ac:dyDescent="0.3">
      <c r="A258" s="11"/>
      <c r="B258" s="11"/>
      <c r="C258" s="11"/>
      <c r="D258" s="11"/>
      <c r="E258" s="11"/>
      <c r="F258" s="11"/>
      <c r="G258" s="11"/>
      <c r="H258" s="11"/>
      <c r="I258" s="11"/>
    </row>
    <row r="259" spans="1:9" x14ac:dyDescent="0.3">
      <c r="A259" s="11"/>
      <c r="B259" s="11"/>
      <c r="C259" s="11"/>
      <c r="D259" s="11"/>
      <c r="E259" s="11"/>
      <c r="F259" s="11"/>
      <c r="G259" s="11"/>
      <c r="H259" s="11"/>
      <c r="I259" s="11"/>
    </row>
    <row r="260" spans="1:9" x14ac:dyDescent="0.3">
      <c r="A260" s="11"/>
      <c r="B260" s="11"/>
      <c r="C260" s="11"/>
      <c r="D260" s="11"/>
      <c r="E260" s="11"/>
      <c r="F260" s="11"/>
      <c r="G260" s="11"/>
      <c r="H260" s="11"/>
      <c r="I260" s="11"/>
    </row>
    <row r="261" spans="1:9" x14ac:dyDescent="0.3">
      <c r="A261" s="11"/>
      <c r="B261" s="11"/>
      <c r="C261" s="11"/>
      <c r="D261" s="11"/>
      <c r="E261" s="11"/>
      <c r="F261" s="11"/>
      <c r="G261" s="11"/>
      <c r="H261" s="11"/>
      <c r="I261" s="11"/>
    </row>
    <row r="262" spans="1:9" x14ac:dyDescent="0.3">
      <c r="A262" s="11"/>
      <c r="B262" s="11"/>
      <c r="C262" s="11"/>
      <c r="D262" s="11"/>
      <c r="E262" s="11"/>
      <c r="F262" s="11"/>
      <c r="G262" s="11"/>
      <c r="H262" s="11"/>
      <c r="I262" s="11"/>
    </row>
    <row r="263" spans="1:9" x14ac:dyDescent="0.3">
      <c r="A263" s="11"/>
      <c r="B263" s="11"/>
      <c r="C263" s="11"/>
      <c r="D263" s="11"/>
      <c r="E263" s="11"/>
      <c r="F263" s="11"/>
      <c r="G263" s="11"/>
      <c r="H263" s="11"/>
      <c r="I263" s="11"/>
    </row>
    <row r="264" spans="1:9" x14ac:dyDescent="0.3">
      <c r="A264" s="11"/>
      <c r="B264" s="11"/>
      <c r="C264" s="11"/>
      <c r="D264" s="11"/>
      <c r="E264" s="11"/>
      <c r="F264" s="11"/>
      <c r="G264" s="11"/>
      <c r="H264" s="11"/>
      <c r="I264" s="11"/>
    </row>
    <row r="265" spans="1:9" x14ac:dyDescent="0.3">
      <c r="A265" s="11"/>
      <c r="B265" s="11"/>
      <c r="C265" s="11"/>
      <c r="D265" s="11"/>
      <c r="E265" s="11"/>
      <c r="F265" s="11"/>
      <c r="G265" s="11"/>
      <c r="H265" s="11"/>
      <c r="I265" s="11"/>
    </row>
    <row r="266" spans="1:9" x14ac:dyDescent="0.3">
      <c r="A266" s="11"/>
      <c r="B266" s="11"/>
      <c r="C266" s="11"/>
      <c r="D266" s="11"/>
      <c r="E266" s="11"/>
      <c r="F266" s="11"/>
      <c r="G266" s="11"/>
      <c r="H266" s="11"/>
      <c r="I266" s="11"/>
    </row>
    <row r="267" spans="1:9" x14ac:dyDescent="0.3">
      <c r="A267" s="11"/>
      <c r="B267" s="11"/>
      <c r="C267" s="11"/>
      <c r="D267" s="11"/>
      <c r="E267" s="11"/>
      <c r="F267" s="11"/>
      <c r="G267" s="11"/>
      <c r="H267" s="11"/>
      <c r="I267" s="11"/>
    </row>
    <row r="268" spans="1:9" x14ac:dyDescent="0.3">
      <c r="A268" s="11"/>
      <c r="B268" s="11"/>
      <c r="C268" s="11"/>
      <c r="D268" s="11"/>
      <c r="E268" s="11"/>
      <c r="F268" s="11"/>
      <c r="G268" s="11"/>
      <c r="H268" s="11"/>
      <c r="I268" s="11"/>
    </row>
    <row r="269" spans="1:9" x14ac:dyDescent="0.3">
      <c r="A269" s="11"/>
      <c r="B269" s="11"/>
      <c r="C269" s="11"/>
      <c r="D269" s="11"/>
      <c r="E269" s="11"/>
      <c r="F269" s="11"/>
      <c r="G269" s="11"/>
      <c r="H269" s="11"/>
      <c r="I269" s="11"/>
    </row>
    <row r="270" spans="1:9" x14ac:dyDescent="0.3">
      <c r="A270" s="11"/>
      <c r="B270" s="11"/>
      <c r="C270" s="11"/>
      <c r="D270" s="11"/>
      <c r="E270" s="11"/>
      <c r="F270" s="11"/>
      <c r="G270" s="11"/>
      <c r="H270" s="11"/>
      <c r="I270" s="11"/>
    </row>
    <row r="271" spans="1:9" x14ac:dyDescent="0.3">
      <c r="A271" s="11"/>
      <c r="B271" s="11"/>
      <c r="C271" s="11"/>
      <c r="D271" s="11"/>
      <c r="E271" s="11"/>
      <c r="F271" s="11"/>
      <c r="G271" s="11"/>
      <c r="H271" s="11"/>
      <c r="I271" s="11"/>
    </row>
    <row r="272" spans="1:9" x14ac:dyDescent="0.3">
      <c r="A272" s="11"/>
      <c r="B272" s="11"/>
      <c r="C272" s="11"/>
      <c r="D272" s="11"/>
      <c r="E272" s="11"/>
      <c r="F272" s="11"/>
      <c r="G272" s="11"/>
      <c r="H272" s="11"/>
      <c r="I272" s="11"/>
    </row>
    <row r="273" spans="1:9" x14ac:dyDescent="0.3">
      <c r="A273" s="11"/>
      <c r="B273" s="11"/>
      <c r="C273" s="11"/>
      <c r="D273" s="11"/>
      <c r="E273" s="11"/>
      <c r="F273" s="11"/>
      <c r="G273" s="11"/>
      <c r="H273" s="11"/>
      <c r="I273" s="11"/>
    </row>
    <row r="274" spans="1:9" x14ac:dyDescent="0.3">
      <c r="A274" s="11"/>
      <c r="B274" s="11"/>
      <c r="C274" s="11"/>
      <c r="D274" s="11"/>
      <c r="E274" s="11"/>
      <c r="F274" s="11"/>
      <c r="G274" s="11"/>
      <c r="H274" s="11"/>
      <c r="I274" s="11"/>
    </row>
    <row r="275" spans="1:9" x14ac:dyDescent="0.3">
      <c r="A275" s="11"/>
      <c r="B275" s="11"/>
      <c r="C275" s="11"/>
      <c r="D275" s="11"/>
      <c r="E275" s="11"/>
      <c r="F275" s="11"/>
      <c r="G275" s="11"/>
      <c r="H275" s="11"/>
      <c r="I275" s="11"/>
    </row>
    <row r="276" spans="1:9" x14ac:dyDescent="0.3">
      <c r="A276" s="11"/>
      <c r="B276" s="11"/>
      <c r="C276" s="11"/>
      <c r="D276" s="11"/>
      <c r="E276" s="11"/>
      <c r="F276" s="11"/>
      <c r="G276" s="11"/>
      <c r="H276" s="11"/>
      <c r="I276" s="11"/>
    </row>
    <row r="277" spans="1:9" x14ac:dyDescent="0.3">
      <c r="A277" s="11"/>
      <c r="B277" s="11"/>
      <c r="C277" s="11"/>
      <c r="D277" s="11"/>
      <c r="E277" s="11"/>
      <c r="F277" s="11"/>
      <c r="G277" s="11"/>
      <c r="H277" s="11"/>
      <c r="I277" s="11"/>
    </row>
    <row r="278" spans="1:9" x14ac:dyDescent="0.3">
      <c r="A278" s="11"/>
      <c r="B278" s="11"/>
      <c r="C278" s="11"/>
      <c r="D278" s="11"/>
      <c r="E278" s="11"/>
      <c r="F278" s="11"/>
      <c r="G278" s="11"/>
      <c r="H278" s="11"/>
      <c r="I278" s="11"/>
    </row>
    <row r="279" spans="1:9" x14ac:dyDescent="0.3">
      <c r="A279" s="11"/>
      <c r="B279" s="11"/>
      <c r="C279" s="11"/>
      <c r="D279" s="11"/>
      <c r="E279" s="11"/>
      <c r="F279" s="11"/>
      <c r="G279" s="11"/>
      <c r="H279" s="11"/>
      <c r="I279" s="11"/>
    </row>
    <row r="280" spans="1:9" x14ac:dyDescent="0.3">
      <c r="A280" s="11"/>
      <c r="B280" s="11"/>
      <c r="C280" s="11"/>
      <c r="D280" s="11"/>
      <c r="E280" s="11"/>
      <c r="F280" s="11"/>
      <c r="G280" s="11"/>
      <c r="H280" s="11"/>
      <c r="I280" s="11"/>
    </row>
    <row r="281" spans="1:9" x14ac:dyDescent="0.3">
      <c r="A281" s="11"/>
      <c r="B281" s="11"/>
      <c r="C281" s="11"/>
      <c r="D281" s="11"/>
      <c r="E281" s="11"/>
      <c r="F281" s="11"/>
      <c r="G281" s="11"/>
      <c r="H281" s="11"/>
      <c r="I281" s="11"/>
    </row>
    <row r="282" spans="1:9" x14ac:dyDescent="0.3">
      <c r="A282" s="11"/>
      <c r="B282" s="11"/>
      <c r="C282" s="11"/>
      <c r="D282" s="11"/>
      <c r="E282" s="11"/>
      <c r="F282" s="11"/>
      <c r="G282" s="11"/>
      <c r="H282" s="11"/>
      <c r="I282" s="11"/>
    </row>
    <row r="283" spans="1:9" x14ac:dyDescent="0.3">
      <c r="A283" s="11"/>
      <c r="B283" s="11"/>
      <c r="C283" s="11"/>
      <c r="D283" s="11"/>
      <c r="E283" s="11"/>
      <c r="F283" s="11"/>
      <c r="G283" s="11"/>
      <c r="H283" s="11"/>
      <c r="I283" s="11"/>
    </row>
    <row r="284" spans="1:9" x14ac:dyDescent="0.3">
      <c r="A284" s="11"/>
      <c r="B284" s="11"/>
      <c r="C284" s="11"/>
      <c r="D284" s="11"/>
      <c r="E284" s="11"/>
      <c r="F284" s="11"/>
      <c r="G284" s="11"/>
      <c r="H284" s="11"/>
      <c r="I284" s="11"/>
    </row>
    <row r="285" spans="1:9" x14ac:dyDescent="0.3">
      <c r="A285" s="11"/>
      <c r="B285" s="11"/>
      <c r="C285" s="11"/>
      <c r="D285" s="11"/>
      <c r="E285" s="11"/>
      <c r="F285" s="11"/>
      <c r="G285" s="11"/>
      <c r="H285" s="11"/>
      <c r="I285" s="11"/>
    </row>
    <row r="286" spans="1:9" x14ac:dyDescent="0.3">
      <c r="A286" s="11"/>
      <c r="B286" s="11"/>
      <c r="C286" s="11"/>
      <c r="D286" s="11"/>
      <c r="E286" s="11"/>
      <c r="F286" s="11"/>
      <c r="G286" s="11"/>
      <c r="H286" s="11"/>
      <c r="I286" s="11"/>
    </row>
    <row r="287" spans="1:9" x14ac:dyDescent="0.3">
      <c r="A287" s="11"/>
      <c r="B287" s="11"/>
      <c r="C287" s="11"/>
      <c r="D287" s="11"/>
      <c r="E287" s="11"/>
      <c r="F287" s="11"/>
      <c r="G287" s="11"/>
      <c r="H287" s="11"/>
      <c r="I287" s="11"/>
    </row>
    <row r="288" spans="1:9" x14ac:dyDescent="0.3">
      <c r="A288" s="11"/>
      <c r="B288" s="11"/>
      <c r="C288" s="11"/>
      <c r="D288" s="11"/>
      <c r="E288" s="11"/>
      <c r="F288" s="11"/>
      <c r="G288" s="11"/>
      <c r="H288" s="11"/>
      <c r="I288" s="11"/>
    </row>
    <row r="289" spans="1:9" x14ac:dyDescent="0.3">
      <c r="A289" s="11"/>
      <c r="B289" s="11"/>
      <c r="C289" s="11"/>
      <c r="D289" s="11"/>
      <c r="E289" s="11"/>
      <c r="F289" s="11"/>
      <c r="G289" s="11"/>
      <c r="H289" s="11"/>
      <c r="I289" s="11"/>
    </row>
    <row r="290" spans="1:9" x14ac:dyDescent="0.3">
      <c r="A290" s="11"/>
      <c r="B290" s="11"/>
      <c r="C290" s="11"/>
      <c r="D290" s="11"/>
      <c r="E290" s="11"/>
      <c r="F290" s="11"/>
      <c r="G290" s="11"/>
      <c r="H290" s="11"/>
      <c r="I290" s="11"/>
    </row>
    <row r="291" spans="1:9" x14ac:dyDescent="0.3">
      <c r="A291" s="11"/>
      <c r="B291" s="11"/>
      <c r="C291" s="11"/>
      <c r="D291" s="11"/>
      <c r="E291" s="11"/>
      <c r="F291" s="11"/>
      <c r="G291" s="11"/>
      <c r="H291" s="11"/>
      <c r="I291" s="11"/>
    </row>
    <row r="292" spans="1:9" x14ac:dyDescent="0.3">
      <c r="A292" s="11"/>
      <c r="B292" s="11"/>
      <c r="C292" s="11"/>
      <c r="D292" s="11"/>
      <c r="E292" s="11"/>
      <c r="F292" s="11"/>
      <c r="G292" s="11"/>
      <c r="H292" s="11"/>
      <c r="I292" s="11"/>
    </row>
    <row r="293" spans="1:9" x14ac:dyDescent="0.3">
      <c r="A293" s="11"/>
      <c r="B293" s="11"/>
      <c r="C293" s="11"/>
      <c r="D293" s="11"/>
      <c r="E293" s="11"/>
      <c r="F293" s="11"/>
      <c r="G293" s="11"/>
      <c r="H293" s="11"/>
      <c r="I293" s="11"/>
    </row>
    <row r="294" spans="1:9" x14ac:dyDescent="0.3">
      <c r="A294" s="11"/>
      <c r="B294" s="11"/>
      <c r="C294" s="11"/>
      <c r="D294" s="11"/>
      <c r="E294" s="11"/>
      <c r="F294" s="11"/>
      <c r="G294" s="11"/>
      <c r="H294" s="11"/>
      <c r="I294" s="11"/>
    </row>
    <row r="295" spans="1:9" x14ac:dyDescent="0.3">
      <c r="A295" s="11"/>
      <c r="B295" s="11"/>
      <c r="C295" s="11"/>
      <c r="D295" s="11"/>
      <c r="E295" s="11"/>
      <c r="F295" s="11"/>
      <c r="G295" s="11"/>
      <c r="H295" s="11"/>
      <c r="I295" s="11"/>
    </row>
    <row r="296" spans="1:9" x14ac:dyDescent="0.3">
      <c r="A296" s="11"/>
      <c r="B296" s="11"/>
      <c r="C296" s="11"/>
      <c r="D296" s="11"/>
      <c r="E296" s="11"/>
      <c r="F296" s="11"/>
      <c r="G296" s="11"/>
      <c r="H296" s="11"/>
      <c r="I296" s="11"/>
    </row>
    <row r="297" spans="1:9" x14ac:dyDescent="0.3">
      <c r="A297" s="11"/>
      <c r="B297" s="11"/>
      <c r="C297" s="11"/>
      <c r="D297" s="11"/>
      <c r="E297" s="11"/>
      <c r="F297" s="11"/>
      <c r="G297" s="11"/>
      <c r="H297" s="11"/>
      <c r="I297" s="11"/>
    </row>
    <row r="298" spans="1:9" x14ac:dyDescent="0.3">
      <c r="A298" s="11"/>
      <c r="B298" s="11"/>
      <c r="C298" s="11"/>
      <c r="D298" s="11"/>
      <c r="E298" s="11"/>
      <c r="F298" s="11"/>
      <c r="G298" s="11"/>
      <c r="H298" s="11"/>
      <c r="I298" s="11"/>
    </row>
    <row r="299" spans="1:9" x14ac:dyDescent="0.3">
      <c r="A299" s="11"/>
      <c r="B299" s="11"/>
      <c r="C299" s="11"/>
      <c r="D299" s="11"/>
      <c r="E299" s="11"/>
      <c r="F299" s="11"/>
      <c r="G299" s="11"/>
      <c r="H299" s="11"/>
      <c r="I299" s="11"/>
    </row>
    <row r="300" spans="1:9" x14ac:dyDescent="0.3">
      <c r="A300" s="11"/>
      <c r="B300" s="11"/>
      <c r="C300" s="11"/>
      <c r="D300" s="11"/>
      <c r="E300" s="11"/>
      <c r="F300" s="11"/>
      <c r="G300" s="11"/>
      <c r="H300" s="11"/>
      <c r="I300" s="11"/>
    </row>
    <row r="301" spans="1:9" x14ac:dyDescent="0.3">
      <c r="A301" s="11"/>
      <c r="B301" s="11"/>
      <c r="C301" s="11"/>
      <c r="D301" s="11"/>
      <c r="E301" s="11"/>
      <c r="F301" s="11"/>
      <c r="G301" s="11"/>
      <c r="H301" s="11"/>
      <c r="I301" s="11"/>
    </row>
    <row r="302" spans="1:9" x14ac:dyDescent="0.3">
      <c r="A302" s="11"/>
      <c r="B302" s="11"/>
      <c r="C302" s="11"/>
      <c r="D302" s="11"/>
      <c r="E302" s="11"/>
      <c r="F302" s="11"/>
      <c r="G302" s="11"/>
      <c r="H302" s="11"/>
      <c r="I302" s="11"/>
    </row>
    <row r="303" spans="1:9" x14ac:dyDescent="0.3">
      <c r="A303" s="11"/>
      <c r="B303" s="11"/>
      <c r="C303" s="11"/>
      <c r="D303" s="11"/>
      <c r="E303" s="11"/>
      <c r="F303" s="11"/>
      <c r="G303" s="11"/>
      <c r="H303" s="11"/>
      <c r="I303" s="11"/>
    </row>
    <row r="304" spans="1:9" x14ac:dyDescent="0.3">
      <c r="A304" s="11"/>
      <c r="B304" s="11"/>
      <c r="C304" s="11"/>
      <c r="D304" s="11"/>
      <c r="E304" s="11"/>
      <c r="F304" s="11"/>
      <c r="G304" s="11"/>
      <c r="H304" s="11"/>
      <c r="I304" s="11"/>
    </row>
    <row r="305" spans="1:9" x14ac:dyDescent="0.3">
      <c r="A305" s="11"/>
      <c r="B305" s="11"/>
      <c r="C305" s="11"/>
      <c r="D305" s="11"/>
      <c r="E305" s="11"/>
      <c r="F305" s="11"/>
      <c r="G305" s="11"/>
      <c r="H305" s="11"/>
      <c r="I305" s="11"/>
    </row>
    <row r="306" spans="1:9" x14ac:dyDescent="0.3">
      <c r="A306" s="11"/>
      <c r="B306" s="11"/>
      <c r="C306" s="11"/>
      <c r="D306" s="11"/>
      <c r="E306" s="11"/>
      <c r="F306" s="11"/>
      <c r="G306" s="11"/>
      <c r="H306" s="11"/>
      <c r="I306" s="11"/>
    </row>
    <row r="307" spans="1:9" x14ac:dyDescent="0.3">
      <c r="A307" s="11"/>
      <c r="B307" s="11"/>
      <c r="C307" s="11"/>
      <c r="D307" s="11"/>
      <c r="E307" s="11"/>
      <c r="F307" s="11"/>
      <c r="G307" s="11"/>
      <c r="H307" s="11"/>
      <c r="I307" s="11"/>
    </row>
    <row r="308" spans="1:9" x14ac:dyDescent="0.3">
      <c r="A308" s="11"/>
      <c r="B308" s="11"/>
      <c r="C308" s="11"/>
      <c r="D308" s="11"/>
      <c r="E308" s="11"/>
      <c r="F308" s="11"/>
      <c r="G308" s="11"/>
      <c r="H308" s="11"/>
      <c r="I308" s="11"/>
    </row>
    <row r="309" spans="1:9" x14ac:dyDescent="0.3">
      <c r="A309" s="11"/>
      <c r="B309" s="11"/>
      <c r="C309" s="11"/>
      <c r="D309" s="11"/>
      <c r="E309" s="11"/>
      <c r="F309" s="11"/>
      <c r="G309" s="11"/>
      <c r="H309" s="11"/>
      <c r="I309" s="11"/>
    </row>
    <row r="310" spans="1:9" x14ac:dyDescent="0.3">
      <c r="A310" s="11"/>
      <c r="B310" s="11"/>
      <c r="C310" s="11"/>
      <c r="D310" s="11"/>
      <c r="E310" s="11"/>
      <c r="F310" s="11"/>
      <c r="G310" s="11"/>
      <c r="H310" s="11"/>
      <c r="I310" s="11"/>
    </row>
    <row r="311" spans="1:9" x14ac:dyDescent="0.3">
      <c r="A311" s="11"/>
      <c r="B311" s="11"/>
      <c r="C311" s="11"/>
      <c r="D311" s="11"/>
      <c r="E311" s="11"/>
      <c r="F311" s="11"/>
      <c r="G311" s="11"/>
      <c r="H311" s="11"/>
      <c r="I311" s="11"/>
    </row>
    <row r="312" spans="1:9" x14ac:dyDescent="0.3">
      <c r="A312" s="11"/>
      <c r="B312" s="11"/>
      <c r="C312" s="11"/>
      <c r="D312" s="11"/>
      <c r="E312" s="11"/>
      <c r="F312" s="11"/>
      <c r="G312" s="11"/>
      <c r="H312" s="11"/>
      <c r="I312" s="11"/>
    </row>
    <row r="313" spans="1:9" x14ac:dyDescent="0.3">
      <c r="A313" s="11"/>
      <c r="B313" s="11"/>
      <c r="C313" s="11"/>
      <c r="D313" s="11"/>
      <c r="E313" s="11"/>
      <c r="F313" s="11"/>
      <c r="G313" s="11"/>
      <c r="H313" s="11"/>
      <c r="I313" s="11"/>
    </row>
    <row r="314" spans="1:9" x14ac:dyDescent="0.3">
      <c r="A314" s="11"/>
      <c r="B314" s="11"/>
      <c r="C314" s="11"/>
      <c r="D314" s="11"/>
      <c r="E314" s="11"/>
      <c r="F314" s="11"/>
      <c r="G314" s="11"/>
      <c r="H314" s="11"/>
      <c r="I314" s="11"/>
    </row>
    <row r="315" spans="1:9" x14ac:dyDescent="0.3">
      <c r="A315" s="11"/>
      <c r="B315" s="11"/>
      <c r="C315" s="11"/>
      <c r="D315" s="11"/>
      <c r="E315" s="11"/>
      <c r="F315" s="11"/>
      <c r="G315" s="11"/>
      <c r="H315" s="11"/>
      <c r="I315" s="11"/>
    </row>
    <row r="316" spans="1:9" x14ac:dyDescent="0.3">
      <c r="A316" s="11"/>
      <c r="B316" s="11"/>
      <c r="C316" s="11"/>
      <c r="D316" s="11"/>
      <c r="E316" s="11"/>
      <c r="F316" s="11"/>
      <c r="G316" s="11"/>
      <c r="H316" s="11"/>
      <c r="I316" s="11"/>
    </row>
    <row r="317" spans="1:9" x14ac:dyDescent="0.3">
      <c r="A317" s="11"/>
      <c r="B317" s="11"/>
      <c r="C317" s="11"/>
      <c r="D317" s="11"/>
      <c r="E317" s="11"/>
      <c r="F317" s="11"/>
      <c r="G317" s="11"/>
      <c r="H317" s="11"/>
      <c r="I317" s="11"/>
    </row>
    <row r="318" spans="1:9" x14ac:dyDescent="0.3">
      <c r="A318" s="11"/>
      <c r="B318" s="11"/>
      <c r="C318" s="11"/>
      <c r="D318" s="11"/>
      <c r="E318" s="11"/>
      <c r="F318" s="11"/>
      <c r="G318" s="11"/>
      <c r="H318" s="11"/>
      <c r="I318" s="11"/>
    </row>
    <row r="319" spans="1:9" x14ac:dyDescent="0.3">
      <c r="A319" s="11"/>
      <c r="B319" s="11"/>
      <c r="C319" s="11"/>
      <c r="D319" s="11"/>
      <c r="E319" s="11"/>
      <c r="F319" s="11"/>
      <c r="G319" s="11"/>
      <c r="H319" s="11"/>
      <c r="I319" s="11"/>
    </row>
    <row r="320" spans="1:9" x14ac:dyDescent="0.3">
      <c r="A320" s="11"/>
      <c r="B320" s="11"/>
      <c r="C320" s="11"/>
      <c r="D320" s="11"/>
      <c r="E320" s="11"/>
      <c r="F320" s="11"/>
      <c r="G320" s="11"/>
      <c r="H320" s="11"/>
      <c r="I320" s="11"/>
    </row>
    <row r="321" spans="1:9" x14ac:dyDescent="0.3">
      <c r="A321" s="11"/>
      <c r="B321" s="11"/>
      <c r="C321" s="11"/>
      <c r="D321" s="11"/>
      <c r="E321" s="11"/>
      <c r="F321" s="11"/>
      <c r="G321" s="11"/>
      <c r="H321" s="11"/>
      <c r="I321" s="11"/>
    </row>
    <row r="322" spans="1:9" x14ac:dyDescent="0.3">
      <c r="A322" s="11"/>
      <c r="B322" s="11"/>
      <c r="C322" s="11"/>
      <c r="D322" s="11"/>
      <c r="E322" s="11"/>
      <c r="F322" s="11"/>
      <c r="G322" s="11"/>
      <c r="H322" s="11"/>
      <c r="I322" s="11"/>
    </row>
    <row r="323" spans="1:9" x14ac:dyDescent="0.3">
      <c r="A323" s="11"/>
      <c r="B323" s="11"/>
      <c r="C323" s="11"/>
      <c r="D323" s="11"/>
      <c r="E323" s="11"/>
      <c r="F323" s="11"/>
      <c r="G323" s="11"/>
      <c r="H323" s="11"/>
      <c r="I323" s="11"/>
    </row>
    <row r="324" spans="1:9" x14ac:dyDescent="0.3">
      <c r="A324" s="11"/>
      <c r="B324" s="11"/>
      <c r="C324" s="11"/>
      <c r="D324" s="11"/>
      <c r="E324" s="11"/>
      <c r="F324" s="11"/>
      <c r="G324" s="11"/>
      <c r="H324" s="11"/>
      <c r="I324" s="11"/>
    </row>
    <row r="325" spans="1:9" x14ac:dyDescent="0.3">
      <c r="A325" s="11"/>
      <c r="B325" s="11"/>
      <c r="C325" s="11"/>
      <c r="D325" s="11"/>
      <c r="E325" s="11"/>
      <c r="F325" s="11"/>
      <c r="G325" s="11"/>
      <c r="H325" s="11"/>
      <c r="I325" s="11"/>
    </row>
    <row r="326" spans="1:9" x14ac:dyDescent="0.3">
      <c r="A326" s="11"/>
      <c r="B326" s="11"/>
      <c r="C326" s="11"/>
      <c r="D326" s="11"/>
      <c r="E326" s="11"/>
      <c r="F326" s="11"/>
      <c r="G326" s="11"/>
      <c r="H326" s="11"/>
      <c r="I326" s="11"/>
    </row>
    <row r="327" spans="1:9" x14ac:dyDescent="0.3">
      <c r="A327" s="11"/>
      <c r="B327" s="11"/>
      <c r="C327" s="11"/>
      <c r="D327" s="11"/>
      <c r="E327" s="11"/>
      <c r="F327" s="11"/>
      <c r="G327" s="11"/>
      <c r="H327" s="11"/>
      <c r="I327" s="11"/>
    </row>
    <row r="328" spans="1:9" x14ac:dyDescent="0.3">
      <c r="A328" s="11"/>
      <c r="B328" s="11"/>
      <c r="C328" s="11"/>
      <c r="D328" s="11"/>
      <c r="E328" s="11"/>
      <c r="F328" s="11"/>
      <c r="G328" s="11"/>
      <c r="H328" s="11"/>
      <c r="I328" s="11"/>
    </row>
    <row r="329" spans="1:9" x14ac:dyDescent="0.3">
      <c r="A329" s="11"/>
      <c r="B329" s="11"/>
      <c r="C329" s="11"/>
      <c r="D329" s="11"/>
      <c r="E329" s="11"/>
      <c r="F329" s="11"/>
      <c r="G329" s="11"/>
      <c r="H329" s="11"/>
      <c r="I329" s="11"/>
    </row>
    <row r="330" spans="1:9" x14ac:dyDescent="0.3">
      <c r="A330" s="11"/>
      <c r="B330" s="11"/>
      <c r="C330" s="11"/>
      <c r="D330" s="11"/>
      <c r="E330" s="11"/>
      <c r="F330" s="11"/>
      <c r="G330" s="11"/>
      <c r="H330" s="11"/>
      <c r="I330" s="11"/>
    </row>
    <row r="331" spans="1:9" x14ac:dyDescent="0.3">
      <c r="A331" s="11"/>
      <c r="B331" s="11"/>
      <c r="C331" s="11"/>
      <c r="D331" s="11"/>
      <c r="E331" s="11"/>
      <c r="F331" s="11"/>
      <c r="G331" s="11"/>
      <c r="H331" s="11"/>
      <c r="I331" s="11"/>
    </row>
    <row r="332" spans="1:9" x14ac:dyDescent="0.3">
      <c r="A332" s="11"/>
      <c r="B332" s="11"/>
      <c r="C332" s="11"/>
      <c r="D332" s="11"/>
      <c r="E332" s="11"/>
      <c r="F332" s="11"/>
      <c r="G332" s="11"/>
      <c r="H332" s="11"/>
      <c r="I332" s="11"/>
    </row>
    <row r="333" spans="1:9" x14ac:dyDescent="0.3">
      <c r="A333" s="11"/>
      <c r="B333" s="11"/>
      <c r="C333" s="11"/>
      <c r="D333" s="11"/>
      <c r="E333" s="11"/>
      <c r="F333" s="11"/>
      <c r="G333" s="11"/>
      <c r="H333" s="11"/>
      <c r="I333" s="11"/>
    </row>
    <row r="334" spans="1:9" x14ac:dyDescent="0.3">
      <c r="A334" s="11"/>
      <c r="B334" s="11"/>
      <c r="C334" s="11"/>
      <c r="D334" s="11"/>
      <c r="E334" s="11"/>
      <c r="F334" s="11"/>
      <c r="G334" s="11"/>
      <c r="H334" s="11"/>
      <c r="I334" s="11"/>
    </row>
    <row r="335" spans="1:9" x14ac:dyDescent="0.3">
      <c r="A335" s="11"/>
      <c r="B335" s="11"/>
      <c r="C335" s="11"/>
      <c r="D335" s="11"/>
      <c r="E335" s="11"/>
      <c r="F335" s="11"/>
      <c r="G335" s="11"/>
      <c r="H335" s="11"/>
      <c r="I335" s="11"/>
    </row>
    <row r="336" spans="1:9" x14ac:dyDescent="0.3">
      <c r="A336" s="11"/>
      <c r="B336" s="11"/>
      <c r="C336" s="11"/>
      <c r="D336" s="11"/>
      <c r="E336" s="11"/>
      <c r="F336" s="11"/>
      <c r="G336" s="11"/>
      <c r="H336" s="11"/>
      <c r="I336" s="11"/>
    </row>
    <row r="337" spans="1:9" x14ac:dyDescent="0.3">
      <c r="A337" s="11"/>
      <c r="B337" s="11"/>
      <c r="C337" s="11"/>
      <c r="D337" s="11"/>
      <c r="E337" s="11"/>
      <c r="F337" s="11"/>
      <c r="G337" s="11"/>
      <c r="H337" s="11"/>
      <c r="I337" s="11"/>
    </row>
    <row r="338" spans="1:9" x14ac:dyDescent="0.3">
      <c r="A338" s="11"/>
      <c r="B338" s="11"/>
      <c r="C338" s="11"/>
      <c r="D338" s="11"/>
      <c r="E338" s="11"/>
      <c r="F338" s="11"/>
      <c r="G338" s="11"/>
      <c r="H338" s="11"/>
      <c r="I338" s="11"/>
    </row>
    <row r="339" spans="1:9" x14ac:dyDescent="0.3">
      <c r="A339" s="11"/>
      <c r="B339" s="11"/>
      <c r="C339" s="11"/>
      <c r="D339" s="11"/>
      <c r="E339" s="11"/>
      <c r="F339" s="11"/>
      <c r="G339" s="11"/>
      <c r="H339" s="11"/>
      <c r="I339" s="11"/>
    </row>
    <row r="340" spans="1:9" x14ac:dyDescent="0.3">
      <c r="A340" s="11"/>
      <c r="B340" s="11"/>
      <c r="C340" s="11"/>
      <c r="D340" s="11"/>
      <c r="E340" s="11"/>
      <c r="F340" s="11"/>
      <c r="G340" s="11"/>
      <c r="H340" s="11"/>
      <c r="I340" s="11"/>
    </row>
    <row r="341" spans="1:9" x14ac:dyDescent="0.3">
      <c r="A341" s="11"/>
      <c r="B341" s="11"/>
      <c r="C341" s="11"/>
      <c r="D341" s="11"/>
      <c r="E341" s="11"/>
      <c r="F341" s="11"/>
      <c r="G341" s="11"/>
      <c r="H341" s="11"/>
      <c r="I341" s="11"/>
    </row>
    <row r="342" spans="1:9" x14ac:dyDescent="0.3">
      <c r="A342" s="11"/>
      <c r="B342" s="11"/>
      <c r="C342" s="11"/>
      <c r="D342" s="11"/>
      <c r="E342" s="11"/>
      <c r="F342" s="11"/>
      <c r="G342" s="11"/>
      <c r="H342" s="11"/>
      <c r="I342" s="11"/>
    </row>
    <row r="343" spans="1:9" x14ac:dyDescent="0.3">
      <c r="A343" s="11"/>
      <c r="B343" s="11"/>
      <c r="C343" s="11"/>
      <c r="D343" s="11"/>
      <c r="E343" s="11"/>
      <c r="F343" s="11"/>
      <c r="G343" s="11"/>
      <c r="H343" s="11"/>
      <c r="I343" s="11"/>
    </row>
    <row r="344" spans="1:9" x14ac:dyDescent="0.3">
      <c r="A344" s="11"/>
      <c r="B344" s="11"/>
      <c r="C344" s="11"/>
      <c r="D344" s="11"/>
      <c r="E344" s="11"/>
      <c r="F344" s="11"/>
      <c r="G344" s="11"/>
      <c r="H344" s="11"/>
      <c r="I344" s="11"/>
    </row>
    <row r="345" spans="1:9" x14ac:dyDescent="0.3">
      <c r="A345" s="11"/>
      <c r="B345" s="11"/>
      <c r="C345" s="11"/>
      <c r="D345" s="11"/>
      <c r="E345" s="11"/>
      <c r="F345" s="11"/>
      <c r="G345" s="11"/>
      <c r="H345" s="11"/>
      <c r="I345" s="11"/>
    </row>
    <row r="346" spans="1:9" x14ac:dyDescent="0.3">
      <c r="A346" s="11"/>
      <c r="B346" s="11"/>
      <c r="C346" s="11"/>
      <c r="D346" s="11"/>
      <c r="E346" s="11"/>
      <c r="F346" s="11"/>
      <c r="G346" s="11"/>
      <c r="H346" s="11"/>
      <c r="I346" s="11"/>
    </row>
    <row r="347" spans="1:9" x14ac:dyDescent="0.3">
      <c r="A347" s="11"/>
      <c r="B347" s="11"/>
      <c r="C347" s="11"/>
      <c r="D347" s="11"/>
      <c r="E347" s="11"/>
      <c r="F347" s="11"/>
      <c r="G347" s="11"/>
      <c r="H347" s="11"/>
      <c r="I347" s="11"/>
    </row>
    <row r="348" spans="1:9" x14ac:dyDescent="0.3">
      <c r="A348" s="11"/>
      <c r="B348" s="11"/>
      <c r="C348" s="11"/>
      <c r="D348" s="11"/>
      <c r="E348" s="11"/>
      <c r="F348" s="11"/>
      <c r="G348" s="11"/>
      <c r="H348" s="11"/>
      <c r="I348" s="11"/>
    </row>
    <row r="349" spans="1:9" x14ac:dyDescent="0.3">
      <c r="A349" s="11"/>
      <c r="B349" s="11"/>
      <c r="C349" s="11"/>
      <c r="D349" s="11"/>
      <c r="E349" s="11"/>
      <c r="F349" s="11"/>
      <c r="G349" s="11"/>
      <c r="H349" s="11"/>
      <c r="I349" s="11"/>
    </row>
    <row r="350" spans="1:9" x14ac:dyDescent="0.3">
      <c r="A350" s="11"/>
      <c r="B350" s="11"/>
      <c r="C350" s="11"/>
      <c r="D350" s="11"/>
      <c r="E350" s="11"/>
      <c r="F350" s="11"/>
      <c r="G350" s="11"/>
      <c r="H350" s="11"/>
      <c r="I350" s="11"/>
    </row>
    <row r="351" spans="1:9" x14ac:dyDescent="0.3">
      <c r="A351" s="11"/>
      <c r="B351" s="11"/>
      <c r="C351" s="11"/>
      <c r="D351" s="11"/>
      <c r="E351" s="11"/>
      <c r="F351" s="11"/>
      <c r="G351" s="11"/>
      <c r="H351" s="11"/>
      <c r="I351" s="11"/>
    </row>
    <row r="352" spans="1:9" x14ac:dyDescent="0.3">
      <c r="A352" s="11"/>
      <c r="B352" s="11"/>
      <c r="C352" s="11"/>
      <c r="D352" s="11"/>
      <c r="E352" s="11"/>
      <c r="F352" s="11"/>
      <c r="G352" s="11"/>
      <c r="H352" s="11"/>
      <c r="I352" s="11"/>
    </row>
    <row r="353" spans="1:9" x14ac:dyDescent="0.3">
      <c r="A353" s="11"/>
      <c r="B353" s="11"/>
      <c r="C353" s="11"/>
      <c r="D353" s="11"/>
      <c r="E353" s="11"/>
      <c r="F353" s="11"/>
      <c r="G353" s="11"/>
      <c r="H353" s="11"/>
      <c r="I353" s="11"/>
    </row>
    <row r="354" spans="1:9" x14ac:dyDescent="0.3">
      <c r="A354" s="11"/>
      <c r="B354" s="11"/>
      <c r="C354" s="11"/>
      <c r="D354" s="11"/>
      <c r="E354" s="11"/>
      <c r="F354" s="11"/>
      <c r="G354" s="11"/>
      <c r="H354" s="11"/>
      <c r="I354" s="11"/>
    </row>
    <row r="355" spans="1:9" x14ac:dyDescent="0.3">
      <c r="A355" s="11"/>
      <c r="B355" s="11"/>
      <c r="C355" s="11"/>
      <c r="D355" s="11"/>
      <c r="E355" s="11"/>
      <c r="F355" s="11"/>
      <c r="G355" s="11"/>
      <c r="H355" s="11"/>
      <c r="I355" s="11"/>
    </row>
    <row r="356" spans="1:9" x14ac:dyDescent="0.3">
      <c r="A356" s="11"/>
      <c r="B356" s="11"/>
      <c r="C356" s="11"/>
      <c r="D356" s="11"/>
      <c r="E356" s="11"/>
      <c r="F356" s="11"/>
      <c r="G356" s="11"/>
      <c r="H356" s="11"/>
      <c r="I356" s="11"/>
    </row>
    <row r="357" spans="1:9" x14ac:dyDescent="0.3">
      <c r="A357" s="11"/>
      <c r="B357" s="11"/>
      <c r="C357" s="11"/>
      <c r="D357" s="11"/>
      <c r="E357" s="11"/>
      <c r="F357" s="11"/>
      <c r="G357" s="11"/>
      <c r="H357" s="11"/>
      <c r="I357" s="11"/>
    </row>
    <row r="358" spans="1:9" x14ac:dyDescent="0.3">
      <c r="A358" s="11"/>
      <c r="B358" s="11"/>
      <c r="C358" s="11"/>
      <c r="D358" s="11"/>
      <c r="E358" s="11"/>
      <c r="F358" s="11"/>
      <c r="G358" s="11"/>
      <c r="H358" s="11"/>
      <c r="I358" s="11"/>
    </row>
    <row r="359" spans="1:9" x14ac:dyDescent="0.3">
      <c r="A359" s="11"/>
      <c r="B359" s="11"/>
      <c r="C359" s="11"/>
      <c r="D359" s="11"/>
      <c r="E359" s="11"/>
      <c r="F359" s="11"/>
      <c r="G359" s="11"/>
      <c r="H359" s="11"/>
      <c r="I359" s="11"/>
    </row>
    <row r="360" spans="1:9" x14ac:dyDescent="0.3">
      <c r="A360" s="11"/>
      <c r="B360" s="11"/>
      <c r="C360" s="11"/>
      <c r="D360" s="11"/>
      <c r="E360" s="11"/>
      <c r="F360" s="11"/>
      <c r="G360" s="11"/>
      <c r="H360" s="11"/>
      <c r="I360" s="11"/>
    </row>
    <row r="361" spans="1:9" x14ac:dyDescent="0.3">
      <c r="A361" s="11"/>
      <c r="B361" s="11"/>
      <c r="C361" s="11"/>
      <c r="D361" s="11"/>
      <c r="E361" s="11"/>
      <c r="F361" s="11"/>
      <c r="G361" s="11"/>
      <c r="H361" s="11"/>
      <c r="I361" s="11"/>
    </row>
    <row r="362" spans="1:9" x14ac:dyDescent="0.3">
      <c r="A362" s="11"/>
      <c r="B362" s="11"/>
      <c r="C362" s="11"/>
      <c r="D362" s="11"/>
      <c r="E362" s="11"/>
      <c r="F362" s="11"/>
      <c r="G362" s="11"/>
      <c r="H362" s="11"/>
      <c r="I362" s="11"/>
    </row>
    <row r="363" spans="1:9" x14ac:dyDescent="0.3">
      <c r="A363" s="11"/>
      <c r="B363" s="11"/>
      <c r="C363" s="11"/>
      <c r="D363" s="11"/>
      <c r="E363" s="11"/>
      <c r="F363" s="11"/>
      <c r="G363" s="11"/>
      <c r="H363" s="11"/>
      <c r="I363" s="11"/>
    </row>
    <row r="364" spans="1:9" x14ac:dyDescent="0.3">
      <c r="A364" s="11"/>
      <c r="B364" s="11"/>
      <c r="C364" s="11"/>
      <c r="D364" s="11"/>
      <c r="E364" s="11"/>
      <c r="F364" s="11"/>
      <c r="G364" s="11"/>
      <c r="H364" s="11"/>
      <c r="I364" s="11"/>
    </row>
    <row r="365" spans="1:9" x14ac:dyDescent="0.3">
      <c r="A365" s="11"/>
      <c r="B365" s="11"/>
      <c r="C365" s="11"/>
      <c r="D365" s="11"/>
      <c r="E365" s="11"/>
      <c r="F365" s="11"/>
      <c r="G365" s="11"/>
      <c r="H365" s="11"/>
      <c r="I365" s="11"/>
    </row>
    <row r="366" spans="1:9" x14ac:dyDescent="0.3">
      <c r="A366" s="11"/>
      <c r="B366" s="11"/>
      <c r="C366" s="11"/>
      <c r="D366" s="11"/>
      <c r="E366" s="11"/>
      <c r="F366" s="11"/>
      <c r="G366" s="11"/>
      <c r="H366" s="11"/>
      <c r="I366" s="11"/>
    </row>
    <row r="367" spans="1:9" x14ac:dyDescent="0.3">
      <c r="A367" s="11"/>
      <c r="B367" s="11"/>
      <c r="C367" s="11"/>
      <c r="D367" s="11"/>
      <c r="E367" s="11"/>
      <c r="F367" s="11"/>
      <c r="G367" s="11"/>
      <c r="H367" s="11"/>
      <c r="I367" s="11"/>
    </row>
    <row r="368" spans="1:9" x14ac:dyDescent="0.3">
      <c r="A368" s="11"/>
      <c r="B368" s="11"/>
      <c r="C368" s="11"/>
      <c r="D368" s="11"/>
      <c r="E368" s="11"/>
      <c r="F368" s="11"/>
      <c r="G368" s="11"/>
      <c r="H368" s="11"/>
      <c r="I368" s="11"/>
    </row>
    <row r="369" spans="1:9" x14ac:dyDescent="0.3">
      <c r="A369" s="11"/>
      <c r="B369" s="11"/>
      <c r="C369" s="11"/>
      <c r="D369" s="11"/>
      <c r="E369" s="11"/>
      <c r="F369" s="11"/>
      <c r="G369" s="11"/>
      <c r="H369" s="11"/>
      <c r="I369" s="11"/>
    </row>
    <row r="370" spans="1:9" x14ac:dyDescent="0.3">
      <c r="A370" s="11"/>
      <c r="B370" s="11"/>
      <c r="C370" s="11"/>
      <c r="D370" s="11"/>
      <c r="E370" s="11"/>
      <c r="F370" s="11"/>
      <c r="G370" s="11"/>
      <c r="H370" s="11"/>
      <c r="I370" s="11"/>
    </row>
    <row r="371" spans="1:9" x14ac:dyDescent="0.3">
      <c r="A371" s="11"/>
      <c r="B371" s="11"/>
      <c r="C371" s="11"/>
      <c r="D371" s="11"/>
      <c r="E371" s="11"/>
      <c r="F371" s="11"/>
      <c r="G371" s="11"/>
      <c r="H371" s="11"/>
      <c r="I371" s="11"/>
    </row>
    <row r="372" spans="1:9" x14ac:dyDescent="0.3">
      <c r="A372" s="11"/>
      <c r="B372" s="11"/>
      <c r="C372" s="11"/>
      <c r="D372" s="11"/>
      <c r="E372" s="11"/>
      <c r="F372" s="11"/>
      <c r="G372" s="11"/>
      <c r="H372" s="11"/>
      <c r="I372" s="11"/>
    </row>
    <row r="373" spans="1:9" x14ac:dyDescent="0.3">
      <c r="A373" s="11"/>
      <c r="B373" s="11"/>
      <c r="C373" s="11"/>
      <c r="D373" s="11"/>
      <c r="E373" s="11"/>
      <c r="F373" s="11"/>
      <c r="G373" s="11"/>
      <c r="H373" s="11"/>
      <c r="I373" s="11"/>
    </row>
    <row r="374" spans="1:9" x14ac:dyDescent="0.3">
      <c r="A374" s="11"/>
      <c r="B374" s="11"/>
      <c r="C374" s="11"/>
      <c r="D374" s="11"/>
      <c r="E374" s="11"/>
      <c r="F374" s="11"/>
      <c r="G374" s="11"/>
      <c r="H374" s="11"/>
      <c r="I374" s="11"/>
    </row>
    <row r="375" spans="1:9" x14ac:dyDescent="0.3">
      <c r="A375" s="11"/>
      <c r="B375" s="11"/>
      <c r="C375" s="11"/>
      <c r="D375" s="11"/>
      <c r="E375" s="11"/>
      <c r="F375" s="11"/>
      <c r="G375" s="11"/>
      <c r="H375" s="11"/>
      <c r="I375" s="11"/>
    </row>
    <row r="376" spans="1:9" x14ac:dyDescent="0.3">
      <c r="A376" s="11"/>
      <c r="B376" s="11"/>
      <c r="C376" s="11"/>
      <c r="D376" s="11"/>
      <c r="E376" s="11"/>
      <c r="F376" s="11"/>
      <c r="G376" s="11"/>
      <c r="H376" s="11"/>
      <c r="I376" s="11"/>
    </row>
    <row r="377" spans="1:9" x14ac:dyDescent="0.3">
      <c r="A377" s="11"/>
      <c r="B377" s="11"/>
      <c r="C377" s="11"/>
      <c r="D377" s="11"/>
      <c r="E377" s="11"/>
      <c r="F377" s="11"/>
      <c r="G377" s="11"/>
      <c r="H377" s="11"/>
      <c r="I377" s="11"/>
    </row>
    <row r="378" spans="1:9" x14ac:dyDescent="0.3">
      <c r="A378" s="11"/>
      <c r="B378" s="11"/>
      <c r="C378" s="11"/>
      <c r="D378" s="11"/>
      <c r="E378" s="11"/>
      <c r="F378" s="11"/>
      <c r="G378" s="11"/>
      <c r="H378" s="11"/>
      <c r="I378" s="11"/>
    </row>
    <row r="379" spans="1:9" x14ac:dyDescent="0.3">
      <c r="A379" s="11"/>
      <c r="B379" s="11"/>
      <c r="C379" s="11"/>
      <c r="D379" s="11"/>
      <c r="E379" s="11"/>
      <c r="F379" s="11"/>
      <c r="G379" s="11"/>
      <c r="H379" s="11"/>
      <c r="I379" s="11"/>
    </row>
    <row r="380" spans="1:9" x14ac:dyDescent="0.3">
      <c r="A380" s="11"/>
      <c r="B380" s="11"/>
      <c r="C380" s="11"/>
      <c r="D380" s="11"/>
      <c r="E380" s="11"/>
      <c r="F380" s="11"/>
      <c r="G380" s="11"/>
      <c r="H380" s="11"/>
      <c r="I380" s="11"/>
    </row>
    <row r="381" spans="1:9" x14ac:dyDescent="0.3">
      <c r="A381" s="11"/>
      <c r="B381" s="11"/>
      <c r="C381" s="11"/>
      <c r="D381" s="11"/>
      <c r="E381" s="11"/>
      <c r="F381" s="11"/>
      <c r="G381" s="11"/>
      <c r="H381" s="11"/>
      <c r="I381" s="11"/>
    </row>
    <row r="382" spans="1:9" x14ac:dyDescent="0.3">
      <c r="A382" s="11"/>
      <c r="B382" s="11"/>
      <c r="C382" s="11"/>
      <c r="D382" s="11"/>
      <c r="E382" s="11"/>
      <c r="F382" s="11"/>
      <c r="G382" s="11"/>
      <c r="H382" s="11"/>
      <c r="I382" s="11"/>
    </row>
    <row r="383" spans="1:9" x14ac:dyDescent="0.3">
      <c r="A383" s="11"/>
      <c r="B383" s="11"/>
      <c r="C383" s="11"/>
      <c r="D383" s="11"/>
      <c r="E383" s="11"/>
      <c r="F383" s="11"/>
      <c r="G383" s="11"/>
      <c r="H383" s="11"/>
      <c r="I383" s="11"/>
    </row>
    <row r="384" spans="1:9" x14ac:dyDescent="0.3">
      <c r="A384" s="11"/>
      <c r="B384" s="11"/>
      <c r="C384" s="11"/>
      <c r="D384" s="11"/>
      <c r="E384" s="11"/>
      <c r="F384" s="11"/>
      <c r="G384" s="11"/>
      <c r="H384" s="11"/>
      <c r="I384" s="11"/>
    </row>
    <row r="385" spans="1:9" x14ac:dyDescent="0.3">
      <c r="A385" s="11"/>
      <c r="B385" s="11"/>
      <c r="C385" s="11"/>
      <c r="D385" s="11"/>
      <c r="E385" s="11"/>
      <c r="F385" s="11"/>
      <c r="G385" s="11"/>
      <c r="H385" s="11"/>
      <c r="I385" s="11"/>
    </row>
    <row r="386" spans="1:9" x14ac:dyDescent="0.3">
      <c r="A386" s="11"/>
      <c r="B386" s="11"/>
      <c r="C386" s="11"/>
      <c r="D386" s="11"/>
      <c r="E386" s="11"/>
      <c r="F386" s="11"/>
      <c r="G386" s="11"/>
      <c r="H386" s="11"/>
      <c r="I386" s="11"/>
    </row>
    <row r="387" spans="1:9" x14ac:dyDescent="0.3">
      <c r="A387" s="11"/>
      <c r="B387" s="11"/>
      <c r="C387" s="11"/>
      <c r="D387" s="11"/>
      <c r="E387" s="11"/>
      <c r="F387" s="11"/>
      <c r="G387" s="11"/>
      <c r="H387" s="11"/>
      <c r="I387" s="11"/>
    </row>
    <row r="388" spans="1:9" x14ac:dyDescent="0.3">
      <c r="A388" s="11"/>
      <c r="B388" s="11"/>
      <c r="C388" s="11"/>
      <c r="D388" s="11"/>
      <c r="E388" s="11"/>
      <c r="F388" s="11"/>
      <c r="G388" s="11"/>
      <c r="H388" s="11"/>
      <c r="I388" s="11"/>
    </row>
    <row r="389" spans="1:9" x14ac:dyDescent="0.3">
      <c r="A389" s="11"/>
      <c r="B389" s="11"/>
      <c r="C389" s="11"/>
      <c r="D389" s="11"/>
      <c r="E389" s="11"/>
      <c r="F389" s="11"/>
      <c r="G389" s="11"/>
      <c r="H389" s="11"/>
      <c r="I389" s="11"/>
    </row>
    <row r="390" spans="1:9" x14ac:dyDescent="0.3">
      <c r="A390" s="11"/>
      <c r="B390" s="11"/>
      <c r="C390" s="11"/>
      <c r="D390" s="11"/>
      <c r="E390" s="11"/>
      <c r="F390" s="11"/>
      <c r="G390" s="11"/>
      <c r="H390" s="11"/>
      <c r="I390" s="11"/>
    </row>
    <row r="391" spans="1:9" x14ac:dyDescent="0.3">
      <c r="A391" s="11"/>
      <c r="B391" s="11"/>
      <c r="C391" s="11"/>
      <c r="D391" s="11"/>
      <c r="E391" s="11"/>
      <c r="F391" s="11"/>
      <c r="G391" s="11"/>
      <c r="H391" s="11"/>
      <c r="I391" s="11"/>
    </row>
    <row r="392" spans="1:9" x14ac:dyDescent="0.3">
      <c r="A392" s="11"/>
      <c r="B392" s="11"/>
      <c r="C392" s="11"/>
      <c r="D392" s="11"/>
      <c r="E392" s="11"/>
      <c r="F392" s="11"/>
      <c r="G392" s="11"/>
      <c r="H392" s="11"/>
      <c r="I392" s="11"/>
    </row>
    <row r="393" spans="1:9" x14ac:dyDescent="0.3">
      <c r="A393" s="11"/>
      <c r="B393" s="11"/>
      <c r="C393" s="11"/>
      <c r="D393" s="11"/>
      <c r="E393" s="11"/>
      <c r="F393" s="11"/>
      <c r="G393" s="11"/>
      <c r="H393" s="11"/>
      <c r="I393" s="11"/>
    </row>
    <row r="394" spans="1:9" x14ac:dyDescent="0.3">
      <c r="A394" s="11"/>
      <c r="B394" s="11"/>
      <c r="C394" s="11"/>
      <c r="D394" s="11"/>
      <c r="E394" s="11"/>
      <c r="F394" s="11"/>
      <c r="G394" s="11"/>
      <c r="H394" s="11"/>
      <c r="I394" s="11"/>
    </row>
    <row r="395" spans="1:9" x14ac:dyDescent="0.3">
      <c r="A395" s="11"/>
      <c r="B395" s="11"/>
      <c r="C395" s="11"/>
      <c r="D395" s="11"/>
      <c r="E395" s="11"/>
      <c r="F395" s="11"/>
      <c r="G395" s="11"/>
      <c r="H395" s="11"/>
      <c r="I395" s="11"/>
    </row>
    <row r="396" spans="1:9" x14ac:dyDescent="0.3">
      <c r="A396" s="11"/>
      <c r="B396" s="11"/>
      <c r="C396" s="11"/>
      <c r="D396" s="11"/>
      <c r="E396" s="11"/>
      <c r="F396" s="11"/>
      <c r="G396" s="11"/>
      <c r="H396" s="11"/>
      <c r="I396" s="11"/>
    </row>
    <row r="397" spans="1:9" x14ac:dyDescent="0.3">
      <c r="A397" s="11"/>
      <c r="B397" s="11"/>
      <c r="C397" s="11"/>
      <c r="D397" s="11"/>
      <c r="E397" s="11"/>
      <c r="F397" s="11"/>
      <c r="G397" s="11"/>
      <c r="H397" s="11"/>
      <c r="I397" s="11"/>
    </row>
    <row r="398" spans="1:9" x14ac:dyDescent="0.3">
      <c r="A398" s="11"/>
      <c r="B398" s="11"/>
      <c r="C398" s="11"/>
      <c r="D398" s="11"/>
      <c r="E398" s="11"/>
      <c r="F398" s="11"/>
      <c r="G398" s="11"/>
      <c r="H398" s="11"/>
      <c r="I398" s="11"/>
    </row>
    <row r="399" spans="1:9" x14ac:dyDescent="0.3">
      <c r="A399" s="11"/>
      <c r="B399" s="11"/>
      <c r="C399" s="11"/>
      <c r="D399" s="11"/>
      <c r="E399" s="11"/>
      <c r="F399" s="11"/>
      <c r="G399" s="11"/>
      <c r="H399" s="11"/>
      <c r="I399" s="11"/>
    </row>
    <row r="400" spans="1:9" x14ac:dyDescent="0.3">
      <c r="A400" s="11"/>
      <c r="B400" s="11"/>
      <c r="C400" s="11"/>
      <c r="D400" s="11"/>
      <c r="E400" s="11"/>
      <c r="F400" s="11"/>
      <c r="G400" s="11"/>
      <c r="H400" s="11"/>
      <c r="I400" s="11"/>
    </row>
    <row r="401" spans="1:9" x14ac:dyDescent="0.3">
      <c r="A401" s="11"/>
      <c r="B401" s="11"/>
      <c r="C401" s="11"/>
      <c r="D401" s="11"/>
      <c r="E401" s="11"/>
      <c r="F401" s="11"/>
      <c r="G401" s="11"/>
      <c r="H401" s="11"/>
      <c r="I401" s="11"/>
    </row>
    <row r="402" spans="1:9" x14ac:dyDescent="0.3">
      <c r="A402" s="11"/>
      <c r="B402" s="11"/>
      <c r="C402" s="11"/>
      <c r="D402" s="11"/>
      <c r="E402" s="11"/>
      <c r="F402" s="11"/>
      <c r="G402" s="11"/>
      <c r="H402" s="11"/>
      <c r="I402" s="11"/>
    </row>
    <row r="403" spans="1:9" x14ac:dyDescent="0.3">
      <c r="A403" s="11"/>
      <c r="B403" s="11"/>
      <c r="C403" s="11"/>
      <c r="D403" s="11"/>
      <c r="E403" s="11"/>
      <c r="F403" s="11"/>
      <c r="G403" s="11"/>
      <c r="H403" s="11"/>
      <c r="I403" s="11"/>
    </row>
    <row r="404" spans="1:9" x14ac:dyDescent="0.3">
      <c r="A404" s="11"/>
      <c r="B404" s="11"/>
      <c r="C404" s="11"/>
      <c r="D404" s="11"/>
      <c r="E404" s="11"/>
      <c r="F404" s="11"/>
      <c r="G404" s="11"/>
      <c r="H404" s="11"/>
      <c r="I404" s="11"/>
    </row>
    <row r="405" spans="1:9" x14ac:dyDescent="0.3">
      <c r="A405" s="11"/>
      <c r="B405" s="11"/>
      <c r="C405" s="11"/>
      <c r="D405" s="11"/>
      <c r="E405" s="11"/>
      <c r="F405" s="11"/>
      <c r="G405" s="11"/>
      <c r="H405" s="11"/>
      <c r="I405" s="11"/>
    </row>
    <row r="406" spans="1:9" x14ac:dyDescent="0.3">
      <c r="A406" s="11"/>
      <c r="B406" s="11"/>
      <c r="C406" s="11"/>
      <c r="D406" s="11"/>
      <c r="E406" s="11"/>
      <c r="F406" s="11"/>
      <c r="G406" s="11"/>
      <c r="H406" s="11"/>
      <c r="I406" s="11"/>
    </row>
    <row r="407" spans="1:9" x14ac:dyDescent="0.3">
      <c r="A407" s="11"/>
      <c r="B407" s="11"/>
      <c r="C407" s="11"/>
      <c r="D407" s="11"/>
      <c r="E407" s="11"/>
      <c r="F407" s="11"/>
      <c r="G407" s="11"/>
      <c r="H407" s="11"/>
      <c r="I407" s="11"/>
    </row>
    <row r="408" spans="1:9" x14ac:dyDescent="0.3">
      <c r="A408" s="11"/>
      <c r="B408" s="11"/>
      <c r="C408" s="11"/>
      <c r="D408" s="11"/>
      <c r="E408" s="11"/>
      <c r="F408" s="11"/>
      <c r="G408" s="11"/>
      <c r="H408" s="11"/>
      <c r="I408" s="11"/>
    </row>
    <row r="409" spans="1:9" x14ac:dyDescent="0.3">
      <c r="A409" s="11"/>
      <c r="B409" s="11"/>
      <c r="C409" s="11"/>
      <c r="D409" s="11"/>
      <c r="E409" s="11"/>
      <c r="F409" s="11"/>
      <c r="G409" s="11"/>
      <c r="H409" s="11"/>
      <c r="I409" s="11"/>
    </row>
    <row r="410" spans="1:9" x14ac:dyDescent="0.3">
      <c r="A410" s="11"/>
      <c r="B410" s="11"/>
      <c r="C410" s="11"/>
      <c r="D410" s="11"/>
      <c r="E410" s="11"/>
      <c r="F410" s="11"/>
      <c r="G410" s="11"/>
      <c r="H410" s="11"/>
      <c r="I410" s="11"/>
    </row>
    <row r="411" spans="1:9" x14ac:dyDescent="0.3">
      <c r="A411" s="11"/>
      <c r="B411" s="11"/>
      <c r="C411" s="11"/>
      <c r="D411" s="11"/>
      <c r="E411" s="11"/>
      <c r="F411" s="11"/>
      <c r="G411" s="11"/>
      <c r="H411" s="11"/>
      <c r="I411" s="11"/>
    </row>
    <row r="412" spans="1:9" x14ac:dyDescent="0.3">
      <c r="A412" s="11"/>
      <c r="B412" s="11"/>
      <c r="C412" s="11"/>
      <c r="D412" s="11"/>
      <c r="E412" s="11"/>
      <c r="F412" s="11"/>
      <c r="G412" s="11"/>
      <c r="H412" s="11"/>
      <c r="I412" s="11"/>
    </row>
    <row r="413" spans="1:9" x14ac:dyDescent="0.3">
      <c r="A413" s="11"/>
      <c r="B413" s="11"/>
      <c r="C413" s="11"/>
      <c r="D413" s="11"/>
      <c r="E413" s="11"/>
      <c r="F413" s="11"/>
      <c r="G413" s="11"/>
      <c r="H413" s="11"/>
      <c r="I413" s="11"/>
    </row>
    <row r="414" spans="1:9" x14ac:dyDescent="0.3">
      <c r="A414" s="11"/>
      <c r="B414" s="11"/>
      <c r="C414" s="11"/>
      <c r="D414" s="11"/>
      <c r="E414" s="11"/>
      <c r="F414" s="11"/>
      <c r="G414" s="11"/>
      <c r="H414" s="11"/>
      <c r="I414" s="11"/>
    </row>
    <row r="415" spans="1:9" x14ac:dyDescent="0.3">
      <c r="A415" s="11"/>
      <c r="B415" s="11"/>
      <c r="C415" s="11"/>
      <c r="D415" s="11"/>
      <c r="E415" s="11"/>
      <c r="F415" s="11"/>
      <c r="G415" s="11"/>
      <c r="H415" s="11"/>
      <c r="I415" s="11"/>
    </row>
    <row r="416" spans="1:9" x14ac:dyDescent="0.3">
      <c r="A416" s="11"/>
      <c r="B416" s="11"/>
      <c r="C416" s="11"/>
      <c r="D416" s="11"/>
      <c r="E416" s="11"/>
      <c r="F416" s="11"/>
      <c r="G416" s="11"/>
      <c r="H416" s="11"/>
      <c r="I416" s="11"/>
    </row>
    <row r="417" spans="1:9" x14ac:dyDescent="0.3">
      <c r="A417" s="11"/>
      <c r="B417" s="11"/>
      <c r="C417" s="11"/>
      <c r="D417" s="11"/>
      <c r="E417" s="11"/>
      <c r="F417" s="11"/>
      <c r="G417" s="11"/>
      <c r="H417" s="11"/>
      <c r="I417" s="11"/>
    </row>
    <row r="418" spans="1:9" x14ac:dyDescent="0.3">
      <c r="A418" s="11"/>
      <c r="B418" s="11"/>
      <c r="C418" s="11"/>
      <c r="D418" s="11"/>
      <c r="E418" s="11"/>
      <c r="F418" s="11"/>
      <c r="G418" s="11"/>
      <c r="H418" s="11"/>
      <c r="I418" s="11"/>
    </row>
    <row r="419" spans="1:9" x14ac:dyDescent="0.3">
      <c r="A419" s="11"/>
      <c r="B419" s="11"/>
      <c r="C419" s="11"/>
      <c r="D419" s="11"/>
      <c r="E419" s="11"/>
      <c r="F419" s="11"/>
      <c r="G419" s="11"/>
      <c r="H419" s="11"/>
      <c r="I419" s="11"/>
    </row>
    <row r="420" spans="1:9" x14ac:dyDescent="0.3">
      <c r="A420" s="11"/>
      <c r="B420" s="11"/>
      <c r="C420" s="11"/>
      <c r="D420" s="11"/>
      <c r="E420" s="11"/>
      <c r="F420" s="11"/>
      <c r="G420" s="11"/>
      <c r="H420" s="11"/>
      <c r="I420" s="11"/>
    </row>
    <row r="421" spans="1:9" x14ac:dyDescent="0.3">
      <c r="A421" s="11"/>
      <c r="B421" s="11"/>
      <c r="C421" s="11"/>
      <c r="D421" s="11"/>
      <c r="E421" s="11"/>
      <c r="F421" s="11"/>
      <c r="G421" s="11"/>
      <c r="H421" s="11"/>
      <c r="I421" s="11"/>
    </row>
    <row r="422" spans="1:9" x14ac:dyDescent="0.3">
      <c r="A422" s="11"/>
      <c r="B422" s="11"/>
      <c r="C422" s="11"/>
      <c r="D422" s="11"/>
      <c r="E422" s="11"/>
      <c r="F422" s="11"/>
      <c r="G422" s="11"/>
      <c r="H422" s="11"/>
      <c r="I422" s="11"/>
    </row>
    <row r="423" spans="1:9" x14ac:dyDescent="0.3">
      <c r="A423" s="11"/>
      <c r="B423" s="11"/>
      <c r="C423" s="11"/>
      <c r="D423" s="11"/>
      <c r="E423" s="11"/>
      <c r="F423" s="11"/>
      <c r="G423" s="11"/>
      <c r="H423" s="11"/>
      <c r="I423" s="11"/>
    </row>
  </sheetData>
  <autoFilter ref="A3:I20"/>
  <mergeCells count="3">
    <mergeCell ref="A2:C2"/>
    <mergeCell ref="F2:G2"/>
    <mergeCell ref="H2:I2"/>
  </mergeCells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0"/>
  <sheetViews>
    <sheetView workbookViewId="0">
      <selection activeCell="J23" sqref="J23"/>
    </sheetView>
  </sheetViews>
  <sheetFormatPr defaultRowHeight="14.4" x14ac:dyDescent="0.3"/>
  <cols>
    <col min="1" max="2" width="14.5546875" style="1" customWidth="1"/>
    <col min="3" max="4" width="10.109375" style="1" customWidth="1"/>
    <col min="5" max="5" width="12.6640625" style="1" customWidth="1"/>
    <col min="6" max="6" width="14.5546875" style="1" customWidth="1"/>
    <col min="7" max="16384" width="8.88671875" style="1"/>
  </cols>
  <sheetData>
    <row r="1" spans="1:6" s="4" customFormat="1" x14ac:dyDescent="0.3">
      <c r="A1" s="3" t="s">
        <v>44</v>
      </c>
      <c r="B1" s="3" t="s">
        <v>45</v>
      </c>
      <c r="C1" s="3" t="s">
        <v>40</v>
      </c>
      <c r="D1" s="3" t="s">
        <v>46</v>
      </c>
      <c r="E1" s="3" t="s">
        <v>47</v>
      </c>
      <c r="F1" s="3" t="s">
        <v>48</v>
      </c>
    </row>
    <row r="2" spans="1:6" x14ac:dyDescent="0.3">
      <c r="A2" s="2" t="s">
        <v>69</v>
      </c>
      <c r="B2" s="2" t="s">
        <v>70</v>
      </c>
      <c r="C2" s="2" t="s">
        <v>71</v>
      </c>
      <c r="D2" s="2">
        <v>691526</v>
      </c>
      <c r="E2" s="2">
        <v>7594846011</v>
      </c>
      <c r="F2" s="2" t="s">
        <v>72</v>
      </c>
    </row>
    <row r="3" spans="1:6" x14ac:dyDescent="0.3">
      <c r="A3" s="2" t="s">
        <v>73</v>
      </c>
      <c r="B3" s="2" t="s">
        <v>74</v>
      </c>
      <c r="C3" s="2" t="s">
        <v>75</v>
      </c>
      <c r="D3" s="2">
        <v>652315</v>
      </c>
      <c r="E3" s="2">
        <v>9865451236</v>
      </c>
      <c r="F3" s="2" t="s">
        <v>76</v>
      </c>
    </row>
    <row r="4" spans="1:6" x14ac:dyDescent="0.3">
      <c r="A4" s="2" t="s">
        <v>89</v>
      </c>
      <c r="B4" s="2" t="s">
        <v>101</v>
      </c>
      <c r="C4" s="2" t="s">
        <v>111</v>
      </c>
      <c r="D4" s="2">
        <v>456356</v>
      </c>
      <c r="E4" s="2">
        <v>7895642331</v>
      </c>
      <c r="F4" s="2" t="s">
        <v>77</v>
      </c>
    </row>
    <row r="5" spans="1:6" x14ac:dyDescent="0.3">
      <c r="A5" s="2" t="s">
        <v>90</v>
      </c>
      <c r="B5" s="2" t="s">
        <v>102</v>
      </c>
      <c r="C5" s="2" t="s">
        <v>71</v>
      </c>
      <c r="D5" s="2">
        <v>123456</v>
      </c>
      <c r="E5" s="2">
        <v>155656566</v>
      </c>
      <c r="F5" s="2" t="s">
        <v>78</v>
      </c>
    </row>
    <row r="6" spans="1:6" x14ac:dyDescent="0.3">
      <c r="A6" s="2" t="s">
        <v>91</v>
      </c>
      <c r="B6" s="2" t="s">
        <v>103</v>
      </c>
      <c r="C6" s="2" t="s">
        <v>71</v>
      </c>
      <c r="D6" s="2">
        <v>653212</v>
      </c>
      <c r="E6" s="2">
        <v>9865321478</v>
      </c>
      <c r="F6" s="2" t="s">
        <v>79</v>
      </c>
    </row>
    <row r="7" spans="1:6" x14ac:dyDescent="0.3">
      <c r="A7" s="2" t="s">
        <v>92</v>
      </c>
      <c r="B7" s="2" t="s">
        <v>104</v>
      </c>
      <c r="C7" s="2" t="s">
        <v>112</v>
      </c>
      <c r="D7" s="2">
        <v>124623</v>
      </c>
      <c r="E7" s="2">
        <v>9635486213</v>
      </c>
      <c r="F7" s="2" t="s">
        <v>80</v>
      </c>
    </row>
    <row r="8" spans="1:6" x14ac:dyDescent="0.3">
      <c r="A8" s="2" t="s">
        <v>93</v>
      </c>
      <c r="B8" s="2" t="s">
        <v>143</v>
      </c>
      <c r="C8" s="2" t="s">
        <v>113</v>
      </c>
      <c r="D8" s="2">
        <v>154421</v>
      </c>
      <c r="E8" s="2">
        <v>7896541236</v>
      </c>
      <c r="F8" s="2" t="s">
        <v>81</v>
      </c>
    </row>
    <row r="9" spans="1:6" x14ac:dyDescent="0.3">
      <c r="A9" s="2" t="s">
        <v>94</v>
      </c>
      <c r="B9" s="2" t="s">
        <v>142</v>
      </c>
      <c r="C9" s="2" t="s">
        <v>114</v>
      </c>
      <c r="D9" s="2">
        <v>124523</v>
      </c>
      <c r="E9" s="2">
        <v>1254678935</v>
      </c>
      <c r="F9" s="2" t="s">
        <v>82</v>
      </c>
    </row>
    <row r="10" spans="1:6" x14ac:dyDescent="0.3">
      <c r="A10" s="2" t="s">
        <v>95</v>
      </c>
      <c r="B10" s="2" t="s">
        <v>105</v>
      </c>
      <c r="C10" s="2" t="s">
        <v>115</v>
      </c>
      <c r="D10" s="2">
        <v>121354</v>
      </c>
      <c r="E10" s="2">
        <v>1236985479</v>
      </c>
      <c r="F10" s="2" t="s">
        <v>83</v>
      </c>
    </row>
    <row r="11" spans="1:6" x14ac:dyDescent="0.3">
      <c r="A11" s="2" t="s">
        <v>96</v>
      </c>
      <c r="B11" s="2" t="s">
        <v>106</v>
      </c>
      <c r="C11" s="2" t="s">
        <v>116</v>
      </c>
      <c r="D11" s="2">
        <v>121454</v>
      </c>
      <c r="E11" s="2">
        <v>45698763215</v>
      </c>
      <c r="F11" s="2" t="s">
        <v>84</v>
      </c>
    </row>
    <row r="12" spans="1:6" x14ac:dyDescent="0.3">
      <c r="A12" s="2" t="s">
        <v>97</v>
      </c>
      <c r="B12" s="2" t="s">
        <v>107</v>
      </c>
      <c r="C12" s="2" t="s">
        <v>118</v>
      </c>
      <c r="D12" s="2">
        <v>124463</v>
      </c>
      <c r="E12" s="2">
        <v>12364588966</v>
      </c>
      <c r="F12" s="2" t="s">
        <v>85</v>
      </c>
    </row>
    <row r="13" spans="1:6" x14ac:dyDescent="0.3">
      <c r="A13" s="2" t="s">
        <v>98</v>
      </c>
      <c r="B13" s="2" t="s">
        <v>108</v>
      </c>
      <c r="C13" s="2" t="s">
        <v>117</v>
      </c>
      <c r="D13" s="2">
        <v>542565</v>
      </c>
      <c r="E13" s="2">
        <v>12356541546</v>
      </c>
      <c r="F13" s="2" t="s">
        <v>86</v>
      </c>
    </row>
    <row r="14" spans="1:6" x14ac:dyDescent="0.3">
      <c r="A14" s="2" t="s">
        <v>99</v>
      </c>
      <c r="B14" s="2" t="s">
        <v>109</v>
      </c>
      <c r="C14" s="2" t="s">
        <v>119</v>
      </c>
      <c r="D14" s="2">
        <v>156232</v>
      </c>
      <c r="E14" s="2">
        <v>66562561242</v>
      </c>
      <c r="F14" s="2" t="s">
        <v>87</v>
      </c>
    </row>
    <row r="15" spans="1:6" x14ac:dyDescent="0.3">
      <c r="A15" s="2" t="s">
        <v>100</v>
      </c>
      <c r="B15" s="2" t="s">
        <v>110</v>
      </c>
      <c r="C15" s="2" t="s">
        <v>120</v>
      </c>
      <c r="D15" s="2">
        <v>135656</v>
      </c>
      <c r="E15" s="2">
        <v>69854789656</v>
      </c>
      <c r="F15" s="2" t="s">
        <v>88</v>
      </c>
    </row>
    <row r="16" spans="1:6" x14ac:dyDescent="0.3">
      <c r="A16" s="2" t="s">
        <v>125</v>
      </c>
      <c r="B16" s="2" t="s">
        <v>129</v>
      </c>
      <c r="C16" s="2" t="s">
        <v>71</v>
      </c>
      <c r="D16" s="2">
        <v>124565</v>
      </c>
      <c r="E16" s="2">
        <v>8965451232</v>
      </c>
      <c r="F16" s="2" t="s">
        <v>133</v>
      </c>
    </row>
    <row r="17" spans="1:6" x14ac:dyDescent="0.3">
      <c r="A17" s="2" t="s">
        <v>130</v>
      </c>
      <c r="B17" s="2" t="s">
        <v>131</v>
      </c>
      <c r="C17" s="2" t="s">
        <v>75</v>
      </c>
      <c r="D17" s="2">
        <v>123645</v>
      </c>
      <c r="E17" s="2">
        <v>4565231285</v>
      </c>
      <c r="F17" s="2" t="s">
        <v>88</v>
      </c>
    </row>
    <row r="18" spans="1:6" x14ac:dyDescent="0.3">
      <c r="A18" s="2" t="s">
        <v>126</v>
      </c>
      <c r="B18" s="2" t="s">
        <v>101</v>
      </c>
      <c r="C18" s="2" t="s">
        <v>71</v>
      </c>
      <c r="D18" s="2">
        <v>456975</v>
      </c>
      <c r="E18" s="2">
        <v>8525364123</v>
      </c>
      <c r="F18" s="2" t="s">
        <v>88</v>
      </c>
    </row>
    <row r="19" spans="1:6" x14ac:dyDescent="0.3">
      <c r="A19" s="2" t="s">
        <v>127</v>
      </c>
      <c r="B19" s="2" t="s">
        <v>131</v>
      </c>
      <c r="C19" s="2" t="s">
        <v>113</v>
      </c>
      <c r="D19" s="2">
        <v>123698</v>
      </c>
      <c r="E19" s="2">
        <v>9846521363</v>
      </c>
      <c r="F19" s="2" t="s">
        <v>88</v>
      </c>
    </row>
    <row r="20" spans="1:6" x14ac:dyDescent="0.3">
      <c r="A20" s="2" t="s">
        <v>128</v>
      </c>
      <c r="B20" s="2" t="s">
        <v>132</v>
      </c>
      <c r="C20" s="2" t="s">
        <v>113</v>
      </c>
      <c r="D20" s="2">
        <v>7854236</v>
      </c>
      <c r="E20" s="2">
        <v>7391568413</v>
      </c>
      <c r="F20" s="2" t="s">
        <v>88</v>
      </c>
    </row>
    <row r="21" spans="1:6" x14ac:dyDescent="0.3">
      <c r="A21" s="2" t="s">
        <v>137</v>
      </c>
      <c r="B21" s="2" t="s">
        <v>70</v>
      </c>
      <c r="C21" s="2" t="s">
        <v>71</v>
      </c>
      <c r="D21" s="2">
        <v>695623</v>
      </c>
      <c r="E21" s="2">
        <v>9456123645</v>
      </c>
      <c r="F21" s="2" t="s">
        <v>138</v>
      </c>
    </row>
    <row r="22" spans="1:6" x14ac:dyDescent="0.3">
      <c r="A22" s="2" t="s">
        <v>145</v>
      </c>
      <c r="B22" s="2" t="s">
        <v>70</v>
      </c>
      <c r="C22" s="2" t="s">
        <v>71</v>
      </c>
      <c r="D22" s="2">
        <v>695462</v>
      </c>
      <c r="E22" s="2">
        <v>9568486532</v>
      </c>
      <c r="F22" s="2">
        <v>123323</v>
      </c>
    </row>
    <row r="23" spans="1:6" x14ac:dyDescent="0.3">
      <c r="A23" s="2"/>
      <c r="B23" s="2"/>
      <c r="C23" s="2"/>
      <c r="D23" s="2"/>
      <c r="E23" s="2"/>
      <c r="F23" s="2"/>
    </row>
    <row r="24" spans="1:6" x14ac:dyDescent="0.3">
      <c r="A24" s="2"/>
      <c r="B24" s="2"/>
      <c r="C24" s="2"/>
      <c r="D24" s="2"/>
      <c r="E24" s="2"/>
      <c r="F24" s="2"/>
    </row>
    <row r="25" spans="1:6" x14ac:dyDescent="0.3">
      <c r="A25" s="2"/>
      <c r="B25" s="2"/>
      <c r="C25" s="2"/>
      <c r="D25" s="2"/>
      <c r="E25" s="2"/>
      <c r="F25" s="2"/>
    </row>
    <row r="26" spans="1:6" x14ac:dyDescent="0.3">
      <c r="A26" s="2"/>
      <c r="B26" s="2"/>
      <c r="C26" s="2"/>
      <c r="D26" s="2"/>
      <c r="E26" s="2"/>
      <c r="F26" s="2"/>
    </row>
    <row r="27" spans="1:6" x14ac:dyDescent="0.3">
      <c r="A27" s="2"/>
      <c r="B27" s="2"/>
      <c r="C27" s="2"/>
      <c r="D27" s="2"/>
      <c r="E27" s="2"/>
      <c r="F27" s="2"/>
    </row>
    <row r="28" spans="1:6" x14ac:dyDescent="0.3">
      <c r="A28" s="2"/>
      <c r="B28" s="2"/>
      <c r="C28" s="2"/>
      <c r="D28" s="2"/>
      <c r="E28" s="2"/>
      <c r="F28" s="2"/>
    </row>
    <row r="29" spans="1:6" x14ac:dyDescent="0.3">
      <c r="A29" s="2"/>
      <c r="B29" s="2"/>
      <c r="C29" s="2"/>
      <c r="D29" s="2"/>
      <c r="E29" s="2"/>
      <c r="F29" s="2"/>
    </row>
    <row r="30" spans="1:6" x14ac:dyDescent="0.3">
      <c r="A30" s="2"/>
      <c r="B30" s="2"/>
      <c r="C30" s="2"/>
      <c r="D30" s="2"/>
      <c r="E30" s="2"/>
      <c r="F30" s="2"/>
    </row>
    <row r="31" spans="1:6" x14ac:dyDescent="0.3">
      <c r="A31" s="2"/>
      <c r="B31" s="2"/>
      <c r="C31" s="2"/>
      <c r="D31" s="2"/>
      <c r="E31" s="2"/>
      <c r="F31" s="2"/>
    </row>
    <row r="32" spans="1:6" x14ac:dyDescent="0.3">
      <c r="A32" s="2"/>
      <c r="B32" s="2"/>
      <c r="C32" s="2"/>
      <c r="D32" s="2"/>
      <c r="E32" s="2"/>
      <c r="F32" s="2"/>
    </row>
    <row r="33" spans="1:6" x14ac:dyDescent="0.3">
      <c r="A33" s="2"/>
      <c r="B33" s="2"/>
      <c r="C33" s="2"/>
      <c r="D33" s="2"/>
      <c r="E33" s="2"/>
      <c r="F33" s="2"/>
    </row>
    <row r="34" spans="1:6" x14ac:dyDescent="0.3">
      <c r="A34" s="2"/>
      <c r="B34" s="2"/>
      <c r="C34" s="2"/>
      <c r="D34" s="2"/>
      <c r="E34" s="2"/>
      <c r="F34" s="2"/>
    </row>
    <row r="35" spans="1:6" x14ac:dyDescent="0.3">
      <c r="A35" s="2"/>
      <c r="B35" s="2"/>
      <c r="C35" s="2"/>
      <c r="D35" s="2"/>
      <c r="E35" s="2"/>
      <c r="F35" s="2"/>
    </row>
    <row r="36" spans="1:6" x14ac:dyDescent="0.3">
      <c r="A36" s="2"/>
      <c r="B36" s="2"/>
      <c r="C36" s="2"/>
      <c r="D36" s="2"/>
      <c r="E36" s="2"/>
      <c r="F36" s="2"/>
    </row>
    <row r="37" spans="1:6" x14ac:dyDescent="0.3">
      <c r="A37" s="2"/>
      <c r="B37" s="2"/>
      <c r="C37" s="2"/>
      <c r="D37" s="2"/>
      <c r="E37" s="2"/>
      <c r="F37" s="2"/>
    </row>
    <row r="38" spans="1:6" x14ac:dyDescent="0.3">
      <c r="A38" s="2"/>
      <c r="B38" s="2"/>
      <c r="C38" s="2"/>
      <c r="D38" s="2"/>
      <c r="E38" s="2"/>
      <c r="F38" s="2"/>
    </row>
    <row r="39" spans="1:6" x14ac:dyDescent="0.3">
      <c r="A39" s="2"/>
      <c r="B39" s="2"/>
      <c r="C39" s="2"/>
      <c r="D39" s="2"/>
      <c r="E39" s="2"/>
      <c r="F39" s="2"/>
    </row>
    <row r="40" spans="1:6" x14ac:dyDescent="0.3">
      <c r="A40" s="2"/>
      <c r="B40" s="2"/>
      <c r="C40" s="2"/>
      <c r="D40" s="2"/>
      <c r="E40" s="2"/>
      <c r="F40" s="2"/>
    </row>
    <row r="41" spans="1:6" x14ac:dyDescent="0.3">
      <c r="A41" s="2"/>
      <c r="B41" s="2"/>
      <c r="C41" s="2"/>
      <c r="D41" s="2"/>
      <c r="E41" s="2"/>
      <c r="F41" s="2"/>
    </row>
    <row r="42" spans="1:6" x14ac:dyDescent="0.3">
      <c r="A42" s="2"/>
      <c r="B42" s="2"/>
      <c r="C42" s="2"/>
      <c r="D42" s="2"/>
      <c r="E42" s="2"/>
      <c r="F42" s="2"/>
    </row>
    <row r="43" spans="1:6" x14ac:dyDescent="0.3">
      <c r="A43" s="2"/>
      <c r="B43" s="2"/>
      <c r="C43" s="2"/>
      <c r="D43" s="2"/>
      <c r="E43" s="2"/>
      <c r="F43" s="2"/>
    </row>
    <row r="44" spans="1:6" x14ac:dyDescent="0.3">
      <c r="A44" s="2"/>
      <c r="B44" s="2"/>
      <c r="C44" s="2"/>
      <c r="D44" s="2"/>
      <c r="E44" s="2"/>
      <c r="F44" s="2"/>
    </row>
    <row r="45" spans="1:6" x14ac:dyDescent="0.3">
      <c r="A45" s="2"/>
      <c r="B45" s="2"/>
      <c r="C45" s="2"/>
      <c r="D45" s="2"/>
      <c r="E45" s="2"/>
      <c r="F45" s="2"/>
    </row>
    <row r="46" spans="1:6" x14ac:dyDescent="0.3">
      <c r="A46" s="2"/>
      <c r="B46" s="2"/>
      <c r="C46" s="2"/>
      <c r="D46" s="2"/>
      <c r="E46" s="2"/>
      <c r="F46" s="2"/>
    </row>
    <row r="47" spans="1:6" x14ac:dyDescent="0.3">
      <c r="A47" s="2"/>
      <c r="B47" s="2"/>
      <c r="C47" s="2"/>
      <c r="D47" s="2"/>
      <c r="E47" s="2"/>
      <c r="F47" s="2"/>
    </row>
    <row r="48" spans="1:6" x14ac:dyDescent="0.3">
      <c r="A48" s="2"/>
      <c r="B48" s="2"/>
      <c r="C48" s="2"/>
      <c r="D48" s="2"/>
      <c r="E48" s="2"/>
      <c r="F48" s="2"/>
    </row>
    <row r="49" spans="1:6" x14ac:dyDescent="0.3">
      <c r="A49" s="2"/>
      <c r="B49" s="2"/>
      <c r="C49" s="2"/>
      <c r="D49" s="2"/>
      <c r="E49" s="2"/>
      <c r="F49" s="2"/>
    </row>
    <row r="50" spans="1:6" x14ac:dyDescent="0.3">
      <c r="A50" s="2"/>
      <c r="B50" s="2"/>
      <c r="C50" s="2"/>
      <c r="D50" s="2"/>
      <c r="E50" s="2"/>
      <c r="F50" s="2"/>
    </row>
  </sheetData>
  <dataValidations count="1">
    <dataValidation type="custom" allowBlank="1" showInputMessage="1" showErrorMessage="1" errorTitle="Duplicate Entry" error="Customer with this name already exists._x000a_Please try a differenct name" promptTitle="Duplicate Entry not allowed" sqref="A2:A50">
      <formula1>COUNTIF($A$2:$A$50,A2)=1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Billing</vt:lpstr>
      <vt:lpstr>Stock</vt:lpstr>
      <vt:lpstr>Sales report</vt:lpstr>
      <vt:lpstr>Customer database</vt:lpstr>
      <vt:lpstr>Billing!Print_Area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Naseer Sanub</dc:creator>
  <cp:lastModifiedBy>Naseer Sanub</cp:lastModifiedBy>
  <cp:lastPrinted>2022-04-02T12:37:40Z</cp:lastPrinted>
  <dcterms:created xsi:type="dcterms:W3CDTF">2022-04-01T06:27:09Z</dcterms:created>
  <dcterms:modified xsi:type="dcterms:W3CDTF">2022-04-02T12:46:50Z</dcterms:modified>
</cp:coreProperties>
</file>